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bal\Desktop\cau_cats\"/>
    </mc:Choice>
  </mc:AlternateContent>
  <xr:revisionPtr revIDLastSave="0" documentId="13_ncr:10000001_{8906A4D6-85DA-4D70-B337-2694E2AFAAA3}" xr6:coauthVersionLast="47" xr6:coauthVersionMax="47" xr10:uidLastSave="{00000000-0000-0000-0000-000000000000}"/>
  <bookViews>
    <workbookView xWindow="-132" yWindow="-132" windowWidth="23304" windowHeight="13944" tabRatio="660" firstSheet="1" activeTab="4" xr2:uid="{4BF6D8A7-4D2C-4188-8AC2-AA2FABA0E984}"/>
  </bookViews>
  <sheets>
    <sheet name="연산량, 데이터셋 비교" sheetId="4" r:id="rId1"/>
    <sheet name="f1 (Sewer-TAPNEW)" sheetId="7" r:id="rId2"/>
    <sheet name="f1 (Sewer-ML)" sheetId="10" r:id="rId3"/>
    <sheet name="valloss (Sewer-TAPNEW)" sheetId="9" r:id="rId4"/>
    <sheet name="valloss (Sewer-ML)" sheetId="8" r:id="rId5"/>
    <sheet name="Sewer-TAPNEW" sheetId="3" r:id="rId6"/>
    <sheet name="Sheet1" sheetId="6" r:id="rId7"/>
    <sheet name="recipe" sheetId="5" r:id="rId8"/>
    <sheet name="Sewer-ML" sheetId="1" r:id="rId9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26" i="9" l="1"/>
  <c r="AB425" i="9"/>
  <c r="AB424" i="9"/>
  <c r="AB423" i="9"/>
  <c r="AB422" i="9"/>
  <c r="AB421" i="9"/>
  <c r="AB420" i="9"/>
  <c r="AB419" i="9"/>
  <c r="AB418" i="9"/>
  <c r="AB417" i="9"/>
  <c r="AB416" i="9"/>
  <c r="AB415" i="9"/>
  <c r="AB414" i="9"/>
  <c r="AB413" i="9"/>
  <c r="AB412" i="9"/>
  <c r="AB411" i="9"/>
  <c r="AB410" i="9"/>
  <c r="AB409" i="9"/>
  <c r="AB408" i="9"/>
  <c r="AB407" i="9"/>
  <c r="AB406" i="9"/>
  <c r="AB405" i="9"/>
  <c r="AB404" i="9"/>
  <c r="AB403" i="9"/>
  <c r="AB402" i="9"/>
  <c r="AB401" i="9"/>
  <c r="AB400" i="9"/>
  <c r="AB399" i="9"/>
  <c r="AB398" i="9"/>
  <c r="AB397" i="9"/>
  <c r="AB396" i="9"/>
  <c r="AB395" i="9"/>
  <c r="AB394" i="9"/>
  <c r="AB393" i="9"/>
  <c r="AB392" i="9"/>
  <c r="AB391" i="9"/>
  <c r="AB390" i="9"/>
  <c r="AB389" i="9"/>
  <c r="AB388" i="9"/>
  <c r="AB387" i="9"/>
  <c r="AB386" i="9"/>
  <c r="AB385" i="9"/>
  <c r="AB384" i="9"/>
  <c r="AB383" i="9"/>
  <c r="AB382" i="9"/>
  <c r="AB381" i="9"/>
  <c r="AB380" i="9"/>
  <c r="AB379" i="9"/>
  <c r="AB378" i="9"/>
  <c r="AB377" i="9"/>
  <c r="AB376" i="9"/>
  <c r="AB375" i="9"/>
  <c r="AB374" i="9"/>
  <c r="AB373" i="9"/>
  <c r="AB372" i="9"/>
  <c r="AB371" i="9"/>
  <c r="AB370" i="9"/>
  <c r="AB369" i="9"/>
  <c r="AB368" i="9"/>
  <c r="AB367" i="9"/>
  <c r="AB366" i="9"/>
  <c r="AB365" i="9"/>
  <c r="AB364" i="9"/>
  <c r="AB363" i="9"/>
  <c r="AB362" i="9"/>
  <c r="AB361" i="9"/>
  <c r="AB360" i="9"/>
  <c r="AB359" i="9"/>
  <c r="AB358" i="9"/>
  <c r="AB357" i="9"/>
  <c r="AB356" i="9"/>
  <c r="AB355" i="9"/>
  <c r="AB354" i="9"/>
  <c r="AB353" i="9"/>
  <c r="AB352" i="9"/>
  <c r="AB351" i="9"/>
  <c r="AB350" i="9"/>
  <c r="AB349" i="9"/>
  <c r="AB348" i="9"/>
  <c r="AB347" i="9"/>
  <c r="AB346" i="9"/>
  <c r="AB345" i="9"/>
  <c r="AB344" i="9"/>
  <c r="AB343" i="9"/>
  <c r="AB342" i="9"/>
  <c r="AB341" i="9"/>
  <c r="AB340" i="9"/>
  <c r="AB339" i="9"/>
  <c r="AB338" i="9"/>
  <c r="AB337" i="9"/>
  <c r="AB336" i="9"/>
  <c r="AB335" i="9"/>
  <c r="AB334" i="9"/>
  <c r="AB333" i="9"/>
  <c r="AB332" i="9"/>
  <c r="AB331" i="9"/>
  <c r="AB330" i="9"/>
  <c r="AB329" i="9"/>
  <c r="AB328" i="9"/>
  <c r="AB327" i="9"/>
  <c r="AB326" i="9"/>
  <c r="AB325" i="9"/>
  <c r="AB324" i="9"/>
  <c r="AB323" i="9"/>
  <c r="AB322" i="9"/>
  <c r="AB321" i="9"/>
  <c r="AB320" i="9"/>
  <c r="AB319" i="9"/>
  <c r="AB318" i="9"/>
  <c r="AB317" i="9"/>
  <c r="AB316" i="9"/>
  <c r="AB315" i="9"/>
  <c r="AB314" i="9"/>
  <c r="AB313" i="9"/>
  <c r="AB312" i="9"/>
  <c r="AB311" i="9"/>
  <c r="AB310" i="9"/>
  <c r="AB309" i="9"/>
  <c r="AB308" i="9"/>
  <c r="AB307" i="9"/>
  <c r="AB306" i="9"/>
  <c r="AB305" i="9"/>
  <c r="AB304" i="9"/>
  <c r="AB303" i="9"/>
  <c r="AB302" i="9"/>
  <c r="AB301" i="9"/>
  <c r="AB300" i="9"/>
  <c r="AB299" i="9"/>
  <c r="AB298" i="9"/>
  <c r="AB297" i="9"/>
  <c r="AB296" i="9"/>
  <c r="AB295" i="9"/>
  <c r="AB294" i="9"/>
  <c r="AB293" i="9"/>
  <c r="AB292" i="9"/>
  <c r="AB291" i="9"/>
  <c r="AB290" i="9"/>
  <c r="AB289" i="9"/>
  <c r="AB288" i="9"/>
  <c r="AB287" i="9"/>
  <c r="AB286" i="9"/>
  <c r="AB285" i="9"/>
  <c r="AB284" i="9"/>
  <c r="AB283" i="9"/>
  <c r="AB282" i="9"/>
  <c r="AB281" i="9"/>
  <c r="AB280" i="9"/>
  <c r="AB279" i="9"/>
  <c r="AB278" i="9"/>
  <c r="AB277" i="9"/>
  <c r="AB276" i="9"/>
  <c r="AB275" i="9"/>
  <c r="AB274" i="9"/>
  <c r="AB273" i="9"/>
  <c r="AB272" i="9"/>
  <c r="AB271" i="9"/>
  <c r="AB270" i="9"/>
  <c r="AB269" i="9"/>
  <c r="AB268" i="9"/>
  <c r="AB267" i="9"/>
  <c r="AB266" i="9"/>
  <c r="AB265" i="9"/>
  <c r="AB264" i="9"/>
  <c r="AB263" i="9"/>
  <c r="AB262" i="9"/>
  <c r="AB261" i="9"/>
  <c r="AB260" i="9"/>
  <c r="AB259" i="9"/>
  <c r="AB258" i="9"/>
  <c r="AB257" i="9"/>
  <c r="AB256" i="9"/>
  <c r="AB255" i="9"/>
  <c r="AB254" i="9"/>
  <c r="AB253" i="9"/>
  <c r="AB252" i="9"/>
  <c r="AB251" i="9"/>
  <c r="AB250" i="9"/>
  <c r="AB249" i="9"/>
  <c r="AB248" i="9"/>
  <c r="AB247" i="9"/>
  <c r="AB246" i="9"/>
  <c r="AB245" i="9"/>
  <c r="AB244" i="9"/>
  <c r="AB243" i="9"/>
  <c r="AB242" i="9"/>
  <c r="AB241" i="9"/>
  <c r="AB240" i="9"/>
  <c r="AB239" i="9"/>
  <c r="AB238" i="9"/>
  <c r="AB237" i="9"/>
  <c r="AB236" i="9"/>
  <c r="AB235" i="9"/>
  <c r="AB234" i="9"/>
  <c r="AB233" i="9"/>
  <c r="AB232" i="9"/>
  <c r="AB231" i="9"/>
  <c r="AB230" i="9"/>
  <c r="AB229" i="9"/>
  <c r="AB228" i="9"/>
  <c r="AB227" i="9"/>
  <c r="AB226" i="9"/>
  <c r="AB225" i="9"/>
  <c r="AB224" i="9"/>
  <c r="AB223" i="9"/>
  <c r="AB222" i="9"/>
  <c r="AB221" i="9"/>
  <c r="AB220" i="9"/>
  <c r="AB219" i="9"/>
  <c r="AB218" i="9"/>
  <c r="AB217" i="9"/>
  <c r="AB216" i="9"/>
  <c r="AB215" i="9"/>
  <c r="AB214" i="9"/>
  <c r="AB213" i="9"/>
  <c r="AB212" i="9"/>
  <c r="AB211" i="9"/>
  <c r="AB210" i="9"/>
  <c r="AB209" i="9"/>
  <c r="AB208" i="9"/>
  <c r="AB207" i="9"/>
  <c r="AB206" i="9"/>
  <c r="AB205" i="9"/>
  <c r="AB204" i="9"/>
  <c r="AB203" i="9"/>
  <c r="AB202" i="9"/>
  <c r="AB201" i="9"/>
  <c r="AB200" i="9"/>
  <c r="AB199" i="9"/>
  <c r="AB198" i="9"/>
  <c r="AB197" i="9"/>
  <c r="AB196" i="9"/>
  <c r="AB195" i="9"/>
  <c r="AB194" i="9"/>
  <c r="AB193" i="9"/>
  <c r="AB192" i="9"/>
  <c r="AB191" i="9"/>
  <c r="AB190" i="9"/>
  <c r="AB189" i="9"/>
  <c r="AB188" i="9"/>
  <c r="AB185" i="9"/>
  <c r="AB184" i="9"/>
  <c r="AB183" i="9"/>
  <c r="AB182" i="9"/>
  <c r="AB181" i="9"/>
  <c r="AB180" i="9"/>
  <c r="AB179" i="9"/>
  <c r="AB178" i="9"/>
  <c r="AB177" i="9"/>
  <c r="AB176" i="9"/>
  <c r="AB175" i="9"/>
  <c r="AB174" i="9"/>
  <c r="AB173" i="9"/>
  <c r="AB172" i="9"/>
  <c r="AB171" i="9"/>
  <c r="AB170" i="9"/>
  <c r="AB187" i="9"/>
  <c r="AB186" i="9"/>
  <c r="AB167" i="9"/>
  <c r="AB166" i="9"/>
  <c r="AB165" i="9"/>
  <c r="AB164" i="9"/>
  <c r="AB163" i="9"/>
  <c r="AB162" i="9"/>
  <c r="AB161" i="9"/>
  <c r="AB160" i="9"/>
  <c r="AB159" i="9"/>
  <c r="AB158" i="9"/>
  <c r="AB157" i="9"/>
  <c r="AB156" i="9"/>
  <c r="AB155" i="9"/>
  <c r="AB154" i="9"/>
  <c r="AB153" i="9"/>
  <c r="AB152" i="9"/>
  <c r="AB151" i="9"/>
  <c r="AB150" i="9"/>
  <c r="AB149" i="9"/>
  <c r="AB148" i="9"/>
  <c r="AB147" i="9"/>
  <c r="AB146" i="9"/>
  <c r="AB145" i="9"/>
  <c r="AB144" i="9"/>
  <c r="AB143" i="9"/>
  <c r="AB142" i="9"/>
  <c r="AB141" i="9"/>
  <c r="AB140" i="9"/>
  <c r="AB139" i="9"/>
  <c r="AB138" i="9"/>
  <c r="AB137" i="9"/>
  <c r="AB136" i="9"/>
  <c r="AB135" i="9"/>
  <c r="AB134" i="9"/>
  <c r="AB133" i="9"/>
  <c r="AB132" i="9"/>
  <c r="AB131" i="9"/>
  <c r="AB130" i="9"/>
  <c r="AB129" i="9"/>
  <c r="AB128" i="9"/>
  <c r="AB127" i="9"/>
  <c r="AB126" i="9"/>
  <c r="AB125" i="9"/>
  <c r="AB124" i="9"/>
  <c r="AB123" i="9"/>
  <c r="AB122" i="9"/>
  <c r="AB121" i="9"/>
  <c r="AB120" i="9"/>
  <c r="AB119" i="9"/>
  <c r="AB118" i="9"/>
  <c r="AB117" i="9"/>
  <c r="AB116" i="9"/>
  <c r="AB115" i="9"/>
  <c r="AB114" i="9"/>
  <c r="AB113" i="9"/>
  <c r="AB112" i="9"/>
  <c r="AB111" i="9"/>
  <c r="AB110" i="9"/>
  <c r="AB109" i="9"/>
  <c r="AB108" i="9"/>
  <c r="AB107" i="9"/>
  <c r="AB106" i="9"/>
  <c r="AB105" i="9"/>
  <c r="AB104" i="9"/>
  <c r="AB103" i="9"/>
  <c r="AB102" i="9"/>
  <c r="AB101" i="9"/>
  <c r="AB100" i="9"/>
  <c r="AB99" i="9"/>
  <c r="AB98" i="9"/>
  <c r="AB97" i="9"/>
  <c r="AB96" i="9"/>
  <c r="AB95" i="9"/>
  <c r="AB94" i="9"/>
  <c r="AB93" i="9"/>
  <c r="AB92" i="9"/>
  <c r="AB91" i="9"/>
  <c r="AB90" i="9"/>
  <c r="AB89" i="9"/>
  <c r="AB88" i="9"/>
  <c r="AB87" i="9"/>
  <c r="AB86" i="9"/>
  <c r="AB85" i="9"/>
  <c r="AB84" i="9"/>
  <c r="AB83" i="9"/>
  <c r="AB82" i="9"/>
  <c r="AB81" i="9"/>
  <c r="AB80" i="9"/>
  <c r="AB79" i="9"/>
  <c r="AB78" i="9"/>
  <c r="AB77" i="9"/>
  <c r="AB76" i="9"/>
  <c r="AB75" i="9"/>
  <c r="AB74" i="9"/>
  <c r="AB73" i="9"/>
  <c r="AB72" i="9"/>
  <c r="AB71" i="9"/>
  <c r="AB70" i="9"/>
  <c r="AB69" i="9"/>
  <c r="AB68" i="9"/>
  <c r="AB67" i="9"/>
  <c r="AB66" i="9"/>
  <c r="AB65" i="9"/>
  <c r="AB64" i="9"/>
  <c r="AB63" i="9"/>
  <c r="AB62" i="9"/>
  <c r="AB61" i="9"/>
  <c r="AB60" i="9"/>
  <c r="AB59" i="9"/>
  <c r="AB58" i="9"/>
  <c r="AB57" i="9"/>
  <c r="AB56" i="9"/>
  <c r="AB55" i="9"/>
  <c r="AB54" i="9"/>
  <c r="AB53" i="9"/>
  <c r="AB52" i="9"/>
  <c r="AB51" i="9"/>
  <c r="AB50" i="9"/>
  <c r="AB49" i="9"/>
  <c r="AB48" i="9"/>
  <c r="AB47" i="9"/>
  <c r="AB46" i="9"/>
  <c r="AB45" i="9"/>
  <c r="AB44" i="9"/>
  <c r="AB43" i="9"/>
  <c r="AB42" i="9"/>
  <c r="AB41" i="9"/>
  <c r="AB40" i="9"/>
  <c r="AB39" i="9"/>
  <c r="AB38" i="9"/>
  <c r="AB37" i="9"/>
  <c r="AB36" i="9"/>
  <c r="AB35" i="9"/>
  <c r="AB34" i="9"/>
  <c r="AB33" i="9"/>
  <c r="AB32" i="9"/>
  <c r="AB31" i="9"/>
  <c r="AB30" i="9"/>
  <c r="AB29" i="9"/>
  <c r="AB28" i="9"/>
  <c r="AB27" i="9"/>
  <c r="AB26" i="9"/>
  <c r="AB25" i="9"/>
  <c r="AB24" i="9"/>
  <c r="AB23" i="9"/>
  <c r="AB22" i="9"/>
  <c r="AB21" i="9"/>
  <c r="AB20" i="9"/>
  <c r="AB19" i="9"/>
  <c r="AB18" i="9"/>
  <c r="AB17" i="9"/>
  <c r="AB16" i="9"/>
  <c r="AB15" i="9"/>
  <c r="AB14" i="9"/>
  <c r="AB13" i="9"/>
  <c r="AB12" i="9"/>
  <c r="AB11" i="9"/>
  <c r="AB10" i="9"/>
  <c r="AB9" i="9"/>
  <c r="AB8" i="9"/>
  <c r="AB7" i="9"/>
  <c r="AB6" i="9"/>
  <c r="AB5" i="9"/>
  <c r="AB4" i="9"/>
  <c r="AB3" i="9"/>
  <c r="AB2" i="9"/>
  <c r="AB1" i="9"/>
</calcChain>
</file>

<file path=xl/sharedStrings.xml><?xml version="1.0" encoding="utf-8"?>
<sst xmlns="http://schemas.openxmlformats.org/spreadsheetml/2006/main" count="1782" uniqueCount="634">
  <si>
    <t>모델</t>
  </si>
  <si>
    <t>파라미터 수</t>
  </si>
  <si>
    <t>Xie2019</t>
  </si>
  <si>
    <t>Resnet-18</t>
  </si>
  <si>
    <t>Efficientnet_b0</t>
  </si>
  <si>
    <t>Ours</t>
  </si>
  <si>
    <t>Mobilenet_v4_small</t>
    <phoneticPr fontId="2" type="noConversion"/>
  </si>
  <si>
    <t>단위</t>
    <phoneticPr fontId="2" type="noConversion"/>
  </si>
  <si>
    <t>MB</t>
    <phoneticPr fontId="2" type="noConversion"/>
  </si>
  <si>
    <t>GMACs</t>
    <phoneticPr fontId="2" type="noConversion"/>
  </si>
  <si>
    <t>GFLOPs</t>
    <phoneticPr fontId="2" type="noConversion"/>
  </si>
  <si>
    <t>ms</t>
    <phoneticPr fontId="2" type="noConversion"/>
  </si>
  <si>
    <t>epoch</t>
  </si>
  <si>
    <t>Precision_normal</t>
    <phoneticPr fontId="2" type="noConversion"/>
  </si>
  <si>
    <t>Recall_normal</t>
    <phoneticPr fontId="2" type="noConversion"/>
  </si>
  <si>
    <t>F1_normal</t>
    <phoneticPr fontId="2" type="noConversion"/>
  </si>
  <si>
    <t>Precision_defect</t>
    <phoneticPr fontId="2" type="noConversion"/>
  </si>
  <si>
    <t>Recall_defect</t>
    <phoneticPr fontId="2" type="noConversion"/>
  </si>
  <si>
    <t>F1_defect</t>
    <phoneticPr fontId="2" type="noConversion"/>
  </si>
  <si>
    <t>File size (.pth)</t>
    <phoneticPr fontId="2" type="noConversion"/>
  </si>
  <si>
    <t>샘플당 MACs</t>
    <phoneticPr fontId="2" type="noConversion"/>
  </si>
  <si>
    <t>샘플당 FLOPs</t>
    <phoneticPr fontId="2" type="noConversion"/>
  </si>
  <si>
    <t>샘플당 Forward Pass 최대 GPU 메모리 사용량</t>
    <phoneticPr fontId="2" type="noConversion"/>
  </si>
  <si>
    <t>-</t>
    <phoneticPr fontId="2" type="noConversion"/>
  </si>
  <si>
    <t>input</t>
    <phoneticPr fontId="2" type="noConversion"/>
  </si>
  <si>
    <t>Final epoch’s Train Acc (train mode)</t>
    <phoneticPr fontId="2" type="noConversion"/>
  </si>
  <si>
    <t>데이터셋</t>
    <phoneticPr fontId="2" type="noConversion"/>
  </si>
  <si>
    <t>Sewer-ML</t>
    <phoneticPr fontId="2" type="noConversion"/>
  </si>
  <si>
    <t>Sewer-TAP</t>
    <phoneticPr fontId="2" type="noConversion"/>
  </si>
  <si>
    <t>Sewer-TAPNEW</t>
    <phoneticPr fontId="2" type="noConversion"/>
  </si>
  <si>
    <t>train</t>
    <phoneticPr fontId="2" type="noConversion"/>
  </si>
  <si>
    <t>val</t>
    <phoneticPr fontId="2" type="noConversion"/>
  </si>
  <si>
    <t>test (=val)</t>
    <phoneticPr fontId="2" type="noConversion"/>
  </si>
  <si>
    <t>Best model's Test ACC (inference mode)</t>
    <phoneticPr fontId="2" type="noConversion"/>
  </si>
  <si>
    <t>리사이즈 결과</t>
    <phoneticPr fontId="2" type="noConversion"/>
  </si>
  <si>
    <t>3, 224, 224</t>
    <phoneticPr fontId="2" type="noConversion"/>
  </si>
  <si>
    <t>3, 480, 480</t>
    <phoneticPr fontId="2" type="noConversion"/>
  </si>
  <si>
    <t>Ours (120)</t>
    <phoneticPr fontId="2" type="noConversion"/>
  </si>
  <si>
    <t>Ours (56)</t>
    <phoneticPr fontId="2" type="noConversion"/>
  </si>
  <si>
    <t>분</t>
    <phoneticPr fontId="2" type="noConversion"/>
  </si>
  <si>
    <t>30+</t>
    <phoneticPr fontId="2" type="noConversion"/>
  </si>
  <si>
    <t>10+</t>
    <phoneticPr fontId="2" type="noConversion"/>
  </si>
  <si>
    <t>run_resnet18_20251108_122924_57</t>
  </si>
  <si>
    <t>run_efficientnet_b0_20251108_123359_58</t>
  </si>
  <si>
    <t>run_20251108_121006_53</t>
  </si>
  <si>
    <t>샘플당 평균 CPU Forward Pass 시간 (더미1장을 100번 반복측정 후 평균)</t>
    <phoneticPr fontId="2" type="noConversion"/>
  </si>
  <si>
    <t>샘플당 평균 GPU Forward Pass 시간 (gpu 캐시 비우고, 더미 1장을 100번 반복측정 후 평균)</t>
    <phoneticPr fontId="2" type="noConversion"/>
  </si>
  <si>
    <t>log/Sewer-ML/run_20251110_194054</t>
    <phoneticPr fontId="2" type="noConversion"/>
  </si>
  <si>
    <t>log/Sewer-ML/run_efficientnet_b0_20251110_194550</t>
  </si>
  <si>
    <t>log/Sewer-ML/run_mobilenet_v4_20251110_194752</t>
  </si>
  <si>
    <t>log/Sewer-ML/run_resnet18_20251110_194424</t>
  </si>
  <si>
    <t>inference_results</t>
  </si>
  <si>
    <t>1epoch당 학습시간 (GPU 사용 기준)</t>
    <phoneticPr fontId="2" type="noConversion"/>
  </si>
  <si>
    <t>Resize, RandomHorizontalFlip, ColorJitter, Norm</t>
    <phoneticPr fontId="2" type="noConversion"/>
  </si>
  <si>
    <t>pre_trained</t>
    <phoneticPr fontId="2" type="noConversion"/>
  </si>
  <si>
    <t>optimizer</t>
    <phoneticPr fontId="2" type="noConversion"/>
  </si>
  <si>
    <t>SGD Momentum</t>
    <phoneticPr fontId="2" type="noConversion"/>
  </si>
  <si>
    <t>AdamW</t>
    <phoneticPr fontId="2" type="noConversion"/>
  </si>
  <si>
    <t>scheduler</t>
    <phoneticPr fontId="2" type="noConversion"/>
  </si>
  <si>
    <t>multisteplr</t>
  </si>
  <si>
    <t>CosineAnnealingLR</t>
  </si>
  <si>
    <t>batch_size</t>
    <phoneticPr fontId="2" type="noConversion"/>
  </si>
  <si>
    <t>preprocess</t>
    <phoneticPr fontId="2" type="noConversion"/>
  </si>
  <si>
    <t>Model</t>
    <phoneticPr fontId="2" type="noConversion"/>
  </si>
  <si>
    <t>Final epoch’s Loss (train mode)</t>
    <phoneticPr fontId="2" type="noConversion"/>
  </si>
  <si>
    <t>Xie2019</t>
    <phoneticPr fontId="2" type="noConversion"/>
  </si>
  <si>
    <t>3, 244, 244</t>
    <phoneticPr fontId="2" type="noConversion"/>
  </si>
  <si>
    <t>0.2183</t>
    <phoneticPr fontId="2" type="noConversion"/>
  </si>
  <si>
    <t>0.8735</t>
    <phoneticPr fontId="2" type="noConversion"/>
  </si>
  <si>
    <t>0.8690</t>
    <phoneticPr fontId="2" type="noConversion"/>
  </si>
  <si>
    <t>0.8647</t>
    <phoneticPr fontId="2" type="noConversion"/>
  </si>
  <si>
    <t>0.8305</t>
    <phoneticPr fontId="2" type="noConversion"/>
  </si>
  <si>
    <t>0.8249</t>
    <phoneticPr fontId="2" type="noConversion"/>
  </si>
  <si>
    <t>0.8464</t>
    <phoneticPr fontId="2" type="noConversion"/>
  </si>
  <si>
    <t>0.8187</t>
    <phoneticPr fontId="2" type="noConversion"/>
  </si>
  <si>
    <t>0.8642</t>
  </si>
  <si>
    <t>0.8642</t>
    <phoneticPr fontId="2" type="noConversion"/>
  </si>
  <si>
    <t>0.8408</t>
    <phoneticPr fontId="2" type="noConversion"/>
  </si>
  <si>
    <t>0.8192</t>
    <phoneticPr fontId="2" type="noConversion"/>
  </si>
  <si>
    <t>0.8455</t>
    <phoneticPr fontId="2" type="noConversion"/>
  </si>
  <si>
    <t>0.8150</t>
    <phoneticPr fontId="2" type="noConversion"/>
  </si>
  <si>
    <t>0.8704</t>
    <phoneticPr fontId="2" type="noConversion"/>
  </si>
  <si>
    <t>0.8418</t>
    <phoneticPr fontId="2" type="noConversion"/>
  </si>
  <si>
    <t>0.8473</t>
    <phoneticPr fontId="2" type="noConversion"/>
  </si>
  <si>
    <t>0.8225</t>
    <phoneticPr fontId="2" type="noConversion"/>
  </si>
  <si>
    <t>0.8580</t>
    <phoneticPr fontId="2" type="noConversion"/>
  </si>
  <si>
    <t>0.8399</t>
    <phoneticPr fontId="2" type="noConversion"/>
  </si>
  <si>
    <t>True</t>
    <phoneticPr fontId="2" type="noConversion"/>
  </si>
  <si>
    <t>90</t>
    <phoneticPr fontId="2" type="noConversion"/>
  </si>
  <si>
    <t>0.0023</t>
  </si>
  <si>
    <t>0.0232</t>
  </si>
  <si>
    <t>0.0811</t>
  </si>
  <si>
    <t>log/Sewer-ML/run_20251109_162437_63</t>
    <phoneticPr fontId="2" type="noConversion"/>
  </si>
  <si>
    <t>0.2312</t>
  </si>
  <si>
    <t>0.0022</t>
  </si>
  <si>
    <t>0.0048</t>
  </si>
  <si>
    <t>0.0464</t>
  </si>
  <si>
    <t>run_mobilenet_v4_20251108_123828_59</t>
    <phoneticPr fontId="2" type="noConversion"/>
  </si>
  <si>
    <t>0.2055</t>
  </si>
  <si>
    <t>loss function</t>
    <phoneticPr fontId="2" type="noConversion"/>
  </si>
  <si>
    <t>CrossEntropyLoss()</t>
  </si>
  <si>
    <t>CrossEntropyLoss()</t>
    <phoneticPr fontId="2" type="noConversion"/>
  </si>
  <si>
    <t>BCEWithLogitsLoss(pos_weight = neg_count/pos_count)</t>
  </si>
  <si>
    <t>BCEWithLogitsLoss(pos_weight = neg_count/pos_count)</t>
    <phoneticPr fontId="2" type="noConversion"/>
  </si>
  <si>
    <t>0.8870</t>
    <phoneticPr fontId="2" type="noConversion"/>
  </si>
  <si>
    <t>0.8820</t>
    <phoneticPr fontId="2" type="noConversion"/>
  </si>
  <si>
    <t>0.8750</t>
    <phoneticPr fontId="2" type="noConversion"/>
  </si>
  <si>
    <t>98.30</t>
    <phoneticPr fontId="2" type="noConversion"/>
  </si>
  <si>
    <t>Sewer-TAPNEW log</t>
    <phoneticPr fontId="2" type="noConversion"/>
  </si>
  <si>
    <t>label</t>
    <phoneticPr fontId="2" type="noConversion"/>
  </si>
  <si>
    <t>Normal/Defect</t>
    <phoneticPr fontId="2" type="noConversion"/>
  </si>
  <si>
    <t>normal/abnormal</t>
    <phoneticPr fontId="2" type="noConversion"/>
  </si>
  <si>
    <t>#</t>
    <phoneticPr fontId="2" type="noConversion"/>
  </si>
  <si>
    <t>552820 / 487309</t>
  </si>
  <si>
    <t>log/run_resnet18_20251108_125319_60</t>
    <phoneticPr fontId="2" type="noConversion"/>
  </si>
  <si>
    <t>log/run_efficientnet_b0_20251108_135948_61</t>
    <phoneticPr fontId="2" type="noConversion"/>
  </si>
  <si>
    <t>log/run_mobilenet_v4_20251108_163343_62</t>
    <phoneticPr fontId="2" type="noConversion"/>
  </si>
  <si>
    <t>CosineAnnealingLR</t>
    <phoneticPr fontId="2" type="noConversion"/>
  </si>
  <si>
    <t>0.8916</t>
    <phoneticPr fontId="2" type="noConversion"/>
  </si>
  <si>
    <t>0.8757</t>
  </si>
  <si>
    <t>0.8757</t>
    <phoneticPr fontId="2" type="noConversion"/>
  </si>
  <si>
    <t>0.8333</t>
    <phoneticPr fontId="2" type="noConversion"/>
  </si>
  <si>
    <t>8765</t>
  </si>
  <si>
    <t>Ours (t_max90)</t>
    <phoneticPr fontId="2" type="noConversion"/>
  </si>
  <si>
    <t>/home/cau/workspace/CHOI/cau_cats/log/Sewer-TAPNEW/baseline_mobilenet_v4_20251112_120835</t>
  </si>
  <si>
    <t>/home/cau/workspace/CHOI/cau_cats/log/Sewer-TAPNEW/baseline_resnet18_20251112_120810</t>
  </si>
  <si>
    <t>89.38</t>
    <phoneticPr fontId="2" type="noConversion"/>
  </si>
  <si>
    <t>0.1970</t>
  </si>
  <si>
    <t>92.66</t>
    <phoneticPr fontId="2" type="noConversion"/>
  </si>
  <si>
    <t>87.91</t>
    <phoneticPr fontId="2" type="noConversion"/>
  </si>
  <si>
    <t>0.8644</t>
  </si>
  <si>
    <t>0.8644</t>
    <phoneticPr fontId="2" type="noConversion"/>
  </si>
  <si>
    <t>0.8519</t>
  </si>
  <si>
    <t>0.3726</t>
    <phoneticPr fontId="2" type="noConversion"/>
  </si>
  <si>
    <t>81.56</t>
  </si>
  <si>
    <t>82.30</t>
  </si>
  <si>
    <t>0.8383</t>
  </si>
  <si>
    <t>0.7910</t>
  </si>
  <si>
    <t>0.8140</t>
  </si>
  <si>
    <t>0.7849</t>
    <phoneticPr fontId="2" type="noConversion"/>
  </si>
  <si>
    <t>0.8084</t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</si>
  <si>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</si>
  <si>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</si>
  <si>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</si>
  <si>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</si>
  <si>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</si>
  <si>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log/Sewer-ML/run_20251113_002452</t>
  </si>
  <si>
    <t>/home/cau/workspace/CHOI/cau_cats/log/Sewer-TAPNEW/baseline_resnet18_20251112_150032</t>
  </si>
  <si>
    <t>/home/cau/workspace/CHOI/cau_cats/log/Sewer-TAPNEW/baseline_mobilenet_v4_20251112_150108</t>
  </si>
  <si>
    <t>/home/cau/workspace/CHOI/cau_cats/log/Sewer-TAPNEW/baseline_efficientnet_b0_20251112_150047</t>
  </si>
  <si>
    <t>/home/cau/workspace/CHOI/cau_cats/log/Sewer-TAPNEW/run_20251112_152742</t>
  </si>
  <si>
    <t>0.0463</t>
    <phoneticPr fontId="2" type="noConversion"/>
  </si>
  <si>
    <t>98.52</t>
  </si>
  <si>
    <t>88.20</t>
    <phoneticPr fontId="2" type="noConversion"/>
  </si>
  <si>
    <t>0.9006</t>
  </si>
  <si>
    <t>0.8701</t>
    <phoneticPr fontId="2" type="noConversion"/>
  </si>
  <si>
    <t>0.8851</t>
    <phoneticPr fontId="2" type="noConversion"/>
  </si>
  <si>
    <t>0.8631</t>
    <phoneticPr fontId="2" type="noConversion"/>
  </si>
  <si>
    <t>0.8951</t>
    <phoneticPr fontId="2" type="noConversion"/>
  </si>
  <si>
    <t>0.8788</t>
    <phoneticPr fontId="2" type="noConversion"/>
  </si>
  <si>
    <t>0.0025</t>
    <phoneticPr fontId="2" type="noConversion"/>
  </si>
  <si>
    <t>99.92</t>
    <phoneticPr fontId="2" type="noConversion"/>
  </si>
  <si>
    <t>0.9172</t>
    <phoneticPr fontId="2" type="noConversion"/>
  </si>
  <si>
    <t>0.8960</t>
    <phoneticPr fontId="2" type="noConversion"/>
  </si>
  <si>
    <t>0.8706</t>
    <phoneticPr fontId="2" type="noConversion"/>
  </si>
  <si>
    <t>0.9136</t>
    <phoneticPr fontId="2" type="noConversion"/>
  </si>
  <si>
    <t>0.0178</t>
    <phoneticPr fontId="2" type="noConversion"/>
  </si>
  <si>
    <t>99.38</t>
    <phoneticPr fontId="2" type="noConversion"/>
  </si>
  <si>
    <t>86.43</t>
    <phoneticPr fontId="2" type="noConversion"/>
  </si>
  <si>
    <t>0.9119</t>
    <phoneticPr fontId="2" type="noConversion"/>
  </si>
  <si>
    <t>0.8222</t>
    <phoneticPr fontId="2" type="noConversion"/>
  </si>
  <si>
    <t>0.8655</t>
    <phoneticPr fontId="2" type="noConversion"/>
  </si>
  <si>
    <t>0.1657</t>
    <phoneticPr fontId="2" type="noConversion"/>
  </si>
  <si>
    <t>93.12</t>
    <phoneticPr fontId="2" type="noConversion"/>
  </si>
  <si>
    <t>87.02</t>
    <phoneticPr fontId="2" type="noConversion"/>
  </si>
  <si>
    <t>/home/cau/workspace/CHOI/cau_cats/log/Sewer-TAPNEW/run_20251112_160430</t>
  </si>
  <si>
    <t>/home/cau/workspace/CHOI/cau_cats/log/Sewer-TAPNEW/run_20251112_160457</t>
  </si>
  <si>
    <t>/home/cau/workspace/CHOI/cau_cats/log/Sewer-TAPNEW/run_20251112_160546</t>
  </si>
  <si>
    <t>/home/cau/workspace/CHOI/cau_cats/log/Sewer-TAPNEW/run_20251112_160603</t>
  </si>
  <si>
    <t>  dropout: 0.01</t>
  </si>
  <si>
    <t>/home/cau/workspace/CHOI/cau_cats/log/Sewer-TAPNEW/run_20251112_235548</t>
    <phoneticPr fontId="2" type="noConversion"/>
  </si>
  <si>
    <t>  dropout: 0.01</t>
    <phoneticPr fontId="2" type="noConversion"/>
  </si>
  <si>
    <t>  dropout: 0.0</t>
    <phoneticPr fontId="2" type="noConversion"/>
  </si>
  <si>
    <t>/home/cau/workspace/CHOI/cau_cats/log/Sewer-TAPNEW/run_20251113_002239</t>
  </si>
  <si>
    <t>  decoder_ff_ratio: 3</t>
  </si>
  <si>
    <t>run  lr: 0.1</t>
    <phoneticPr fontId="2" type="noConversion"/>
  </si>
  <si>
    <t>run  lr: 0.01</t>
    <phoneticPr fontId="2" type="noConversion"/>
  </si>
  <si>
    <t>원본 (run  lr: 0.001, dropout0.1, ff_ratio:2</t>
    <phoneticPr fontId="2" type="noConversion"/>
  </si>
  <si>
    <t>  dropout: 0.01 2차 시도</t>
    <phoneticPr fontId="2" type="noConversion"/>
  </si>
  <si>
    <t>  decoder_ff_ratio: 1</t>
    <phoneticPr fontId="2" type="noConversion"/>
  </si>
  <si>
    <t>/home/cau/workspace/CHOI/cau_cats/log/Sewer-TAPNEW/run_20251113_005207</t>
  </si>
  <si>
    <t>  dropout: 0.005</t>
    <phoneticPr fontId="2" type="noConversion"/>
  </si>
  <si>
    <t>/home/cau/workspace/CHOI/cau_cats/log/Sewer-TAPNEW/run_20251113_005347</t>
  </si>
  <si>
    <t>/home/cau/workspace/CHOI/cau_cats/log/Sewer-TAPNEW/run_20251113_012808</t>
  </si>
  <si>
    <t>/home/cau/workspace/CHOI/cau_cats/log/Sewer-TAPNEW/run_20251113_012839</t>
  </si>
  <si>
    <t>ff_ratio3,  dropout: 0.01, run  lr: 0.01</t>
    <phoneticPr fontId="2" type="noConversion"/>
  </si>
  <si>
    <t>ff_ratio3, dropout: 0.01</t>
    <phoneticPr fontId="2" type="noConversion"/>
  </si>
  <si>
    <t>dropout: 0.01, run  lr: 0.01</t>
  </si>
  <si>
    <t>/home/cau/workspace/CHOI/cau_cats/log/Sewer-TAPNEW/run_20251113_015857</t>
  </si>
  <si>
    <t>/home/cau/workspace/CHOI/cau_cats/log/Sewer-TAPNEW/run_20251113_021519</t>
  </si>
  <si>
    <t>  decoder_ff_ratio: 4</t>
    <phoneticPr fontId="2" type="noConversion"/>
  </si>
  <si>
    <t>  dropout: 0.05</t>
    <phoneticPr fontId="2" type="noConversion"/>
  </si>
  <si>
    <t>/home/cau/workspace/CHOI/cau_cats/log/Sewer-TAPNEW/run_20251113_033000</t>
  </si>
  <si>
    <t>/home/cau/workspace/CHOI/cau_cats/log/Sewer-TAPNEW/run_20251113_033014</t>
  </si>
  <si>
    <t>  dropout: 0.05, res_attn</t>
    <phoneticPr fontId="2" type="noConversion"/>
  </si>
  <si>
    <t>위는 eta_min: 0.000001</t>
    <phoneticPr fontId="2" type="noConversion"/>
  </si>
  <si>
    <t>  dropout: 0.01, eta_min: 0.00001</t>
    <phoneticPr fontId="2" type="noConversion"/>
  </si>
  <si>
    <t>/home/cau/workspace/CHOI/cau_cats/log/Sewer-TAPNEW/run_20251113_040357</t>
  </si>
  <si>
    <t>/home/cau/workspace/CHOI/cau_cats/log/Sewer-TAPNEW/run_20251113_040442</t>
  </si>
  <si>
    <t>  dropout: 0.01, eta_min: 0.0001</t>
    <phoneticPr fontId="2" type="noConversion"/>
  </si>
  <si>
    <t>dropout: 0.01. head3</t>
    <phoneticPr fontId="2" type="noConversion"/>
  </si>
  <si>
    <t>/home/cau/workspace/CHOI/cau_cats/log/Sewer-TAPNEW/run_20251113_043630</t>
  </si>
  <si>
    <t>dropout: 0.01. head1</t>
    <phoneticPr fontId="2" type="noConversion"/>
  </si>
  <si>
    <t>/home/cau/workspace/CHOI/cau_cats/log/Sewer-TAPNEW/run_20251113_043740</t>
  </si>
  <si>
    <t>0.2280</t>
    <phoneticPr fontId="2" type="noConversion"/>
  </si>
  <si>
    <t>90.99</t>
    <phoneticPr fontId="2" type="noConversion"/>
  </si>
  <si>
    <t>91.29</t>
    <phoneticPr fontId="2" type="noConversion"/>
  </si>
  <si>
    <t>0.9093</t>
  </si>
  <si>
    <t>0.9169</t>
  </si>
  <si>
    <t>0.9246</t>
    <phoneticPr fontId="2" type="noConversion"/>
  </si>
  <si>
    <t>0.9170</t>
  </si>
  <si>
    <t>0.9086</t>
  </si>
  <si>
    <t>0.9003</t>
    <phoneticPr fontId="2" type="noConversion"/>
  </si>
  <si>
    <t>Ours (lr 0.001)</t>
    <phoneticPr fontId="2" type="noConversion"/>
  </si>
  <si>
    <t>log/Sewer-ML/baseline_resnet18_20251113_134637</t>
  </si>
  <si>
    <t>log/Sewer-ML/baseline_efficientnet_b0_20251113_134832</t>
  </si>
  <si>
    <t>8914</t>
    <phoneticPr fontId="2" type="noConversion"/>
  </si>
  <si>
    <t>6</t>
    <phoneticPr fontId="2" type="noConversion"/>
  </si>
  <si>
    <t>/home/cau/workspace/CHOI/cau_cats/log/Sewer-TAPNEW/run_20251113_051940</t>
  </si>
  <si>
    <t>/home/cau/workspace/CHOI/cau_cats/log/Sewer-TAPNEW/run_20251113_052151</t>
  </si>
  <si>
    <t>dropout: 0.01, 5</t>
    <phoneticPr fontId="2" type="noConversion"/>
  </si>
  <si>
    <t>dropout: 0.01, 6</t>
  </si>
  <si>
    <t>dropout: 0.01, 6</t>
    <phoneticPr fontId="2" type="noConversion"/>
  </si>
  <si>
    <t>adamaW, cosine만 쓴다면, 로스함수가 CE, BCE인지는 상관 없구나</t>
    <phoneticPr fontId="2" type="noConversion"/>
  </si>
  <si>
    <t>dropout 0.01, bs64</t>
    <phoneticPr fontId="2" type="noConversion"/>
  </si>
  <si>
    <t>/home/cau/workspace/CHOI/cau_cats/log/Sewer-TAPNEW/run_20251113_060046</t>
  </si>
  <si>
    <t>0.2257</t>
    <phoneticPr fontId="2" type="noConversion"/>
  </si>
  <si>
    <t>90.94</t>
    <phoneticPr fontId="2" type="noConversion"/>
  </si>
  <si>
    <t>89.09</t>
    <phoneticPr fontId="2" type="noConversion"/>
  </si>
  <si>
    <t>8889</t>
  </si>
  <si>
    <t>9040</t>
  </si>
  <si>
    <t>8931</t>
  </si>
  <si>
    <t>8847</t>
  </si>
  <si>
    <t>log/Sewer-TAPNEW/baseline_efficientnet_b0_20251113_061720</t>
  </si>
  <si>
    <t>7</t>
    <phoneticPr fontId="2" type="noConversion"/>
  </si>
  <si>
    <t>/home/cau/workspace/CHOI/cau_cats/log/Sewer-TAPNEW/run_20251113_070503</t>
  </si>
  <si>
    <t>dropout: 0.01, 7</t>
    <phoneticPr fontId="2" type="noConversion"/>
  </si>
  <si>
    <t>위에는 다 run.py에 로스는 CE</t>
    <phoneticPr fontId="2" type="noConversion"/>
  </si>
  <si>
    <t>8964</t>
    <phoneticPr fontId="2" type="noConversion"/>
  </si>
  <si>
    <t>dropout 0.01, emb_dim 과 featured_patch_dim 36</t>
    <phoneticPr fontId="2" type="noConversion"/>
  </si>
  <si>
    <t>/home/cau/workspace/CHOI/cau_cats/log/Sewer-TAPNEW/run_20251113_075958</t>
  </si>
  <si>
    <t>위 옵션으로 베이스라인 세 가지 각각 학습 중</t>
    <phoneticPr fontId="2" type="noConversion"/>
  </si>
  <si>
    <t>이걸로 run.py 학습 중</t>
    <phoneticPr fontId="2" type="noConversion"/>
  </si>
  <si>
    <t>eta_mi 0.0000001,          0.0</t>
    <phoneticPr fontId="2" type="noConversion"/>
  </si>
  <si>
    <t>Best model's Test ACC (inference mode)</t>
  </si>
  <si>
    <t>Precision_normal</t>
  </si>
  <si>
    <t>Recall_normal</t>
  </si>
  <si>
    <t>F1_normal</t>
  </si>
  <si>
    <t>Precision_defect</t>
  </si>
  <si>
    <t>Recall_defect</t>
  </si>
  <si>
    <t>F1_defect</t>
  </si>
  <si>
    <t>/home/cau/workspace/CHOI/cau_cats/log/Sewer-TAPNEW/baseline_efficientnet_b0_20251113_081849</t>
  </si>
  <si>
    <t>path</t>
    <phoneticPr fontId="2" type="noConversion"/>
  </si>
  <si>
    <t>/home/cau/workspace/CHOI/cau_cats/log/Sewer-TAPNEW/baseline_mobilenet_v4_20251113_081904</t>
  </si>
  <si>
    <t>/home/cau/workspace/CHOI/cau_cats/log/Sewer-TAPNEW/baseline_resnet18_20251113_081834</t>
  </si>
  <si>
    <t>/home/cau/workspace/CHOI/cau_cats/log/Sewer-TAPNEW/run_20251113_111829</t>
  </si>
  <si>
    <t>/home/cau/workspace/CHOI/cau_cats/log/Sewer-TAPNEW/run_20251113_111908</t>
  </si>
  <si>
    <t>/home/cau/workspace/CHOI/cau_cats/log/Sewer-TAPNEW/baseline_resnet18_20251113_114034</t>
  </si>
  <si>
    <t>/home/cau/workspace/CHOI/cau_cats/log/Sewer-TAPNEW/baseline_efficientnet_b0_20251113_114131</t>
  </si>
  <si>
    <t>/home/cau/workspace/CHOI/cau_cats/log/Sewer-TAPNEW/run_20251113_115016</t>
  </si>
  <si>
    <t>/home/cau/workspace/CHOI/cau_cats/log/Sewer-TAPNEW/run_20251113_115047</t>
  </si>
  <si>
    <t>/home/cau/workspace/CHOI/cau_cats/log/Sewer-TAPNEW/baseline_mobilenet_v4_20251113_121318</t>
  </si>
  <si>
    <t>/home/cau/workspace/CHOI/cau_cats/log/Sewer-TAPNEW/run_20251113_122306</t>
    <phoneticPr fontId="2" type="noConversion"/>
  </si>
  <si>
    <t>/home/cau/workspace/CHOI/cau_cats/log/Sewer-TAPNEW/run_20251113_122308</t>
  </si>
  <si>
    <t>/home/cau/workspace/CHOI/cau_cats/log/Sewer-TAPNEW/run_20251113_124224</t>
  </si>
  <si>
    <t>Resize, RandomHorizontalFlip, ColorJitter, Norm</t>
  </si>
  <si>
    <t>AdamW</t>
  </si>
  <si>
    <t>Ours (weight_decay 0.001)</t>
    <phoneticPr fontId="2" type="noConversion"/>
  </si>
  <si>
    <t>/home/cau/workspace/CHOI/cau_cats/log/Sewer-TAPNEW/run_20251113_130653</t>
    <phoneticPr fontId="2" type="noConversion"/>
  </si>
  <si>
    <t>/home/cau/workspace/CHOI/cau_cats/log/Sewer-TAPNEW/run_20251113_130657</t>
  </si>
  <si>
    <t>Ours (weight_decay 0.0)</t>
    <phoneticPr fontId="2" type="noConversion"/>
  </si>
  <si>
    <t>/home/cau/workspace/CHOI/cau_cats/log/Sewer-TAPNEW/run_20251113_131250</t>
  </si>
  <si>
    <t>/home/cau/workspace/CHOI/cau_cats/log/Sewer-TAPNEW/run_20251113_131312</t>
  </si>
  <si>
    <t>Ours (weight_decay 0.1)</t>
    <phoneticPr fontId="2" type="noConversion"/>
  </si>
  <si>
    <t>/home/cau/workspace/CHOI/cau_cats/log/Sewer-TAPNEW/run_20251113_134513</t>
  </si>
  <si>
    <t>/home/cau/workspace/CHOI/cau_cats/log/Sewer-TAPNEW/run_20251113_134514</t>
  </si>
  <si>
    <t>Ours (weight_decay 0.0, feat3)</t>
    <phoneticPr fontId="2" type="noConversion"/>
  </si>
  <si>
    <t>/home/cau/workspace/CHOI/cau_cats/log/Sewer-TAPNEW/run_20251113_134948</t>
  </si>
  <si>
    <t>/home/cau/workspace/CHOI/cau_cats/log/Sewer-TAPNEW/run_20251113_134949</t>
  </si>
  <si>
    <t>Ours (weight_decay 0.0, drop0.0)</t>
    <phoneticPr fontId="2" type="noConversion"/>
  </si>
  <si>
    <t>/home/cau/workspace/CHOI/cau_cats/log/Sewer-TAPNEW/run_20251113_141856</t>
  </si>
  <si>
    <t>/home/cau/workspace/CHOI/cau_cats/log/Sewer-TAPNEW/run_20251113_141857</t>
  </si>
  <si>
    <t>Ours (weight_decay 0.0, drop0.1)</t>
    <phoneticPr fontId="2" type="noConversion"/>
  </si>
  <si>
    <t>/home/cau/workspace/CHOI/cau_cats/log/Sewer-TAPNEW/run_20251113_142348</t>
  </si>
  <si>
    <t>/home/cau/workspace/CHOI/cau_cats/log/Sewer-TAPNEW/run_20251113_142349</t>
  </si>
  <si>
    <t>Ours</t>
    <phoneticPr fontId="2" type="noConversion"/>
  </si>
  <si>
    <t>/home/cau/workspace/CHOI/cau_cats/log/Sewer-TAPNEW/run_20251113_150236</t>
  </si>
  <si>
    <t>/home/cau/workspace/CHOI/cau_cats/log/Sewer-TAPNEW/run_20251113_150318</t>
  </si>
  <si>
    <t>Ours (weight_decay 0.0, ps112)</t>
    <phoneticPr fontId="2" type="noConversion"/>
  </si>
  <si>
    <t>/home/cau/workspace/CHOI/cau_cats/log/Sewer-TAPNEW/run_20251113_152208</t>
  </si>
  <si>
    <t>/home/cau/workspace/CHOI/cau_cats/log/Sewer-TAPNEW/run_20251113_154852</t>
  </si>
  <si>
    <t>/home/cau/workspace/CHOI/cau_cats/log/Sewer-TAPNEW/run_20251113_155225</t>
  </si>
  <si>
    <t>/home/cau/workspace/CHOI/cau_cats/log/Sewer-TAPNEW/run_20251113_155301</t>
  </si>
  <si>
    <t>/home/cau/workspace/CHOI/cau_cats/log/Sewer-TAPNEW/baseline_efficientnet_b0_20251113_155412</t>
  </si>
  <si>
    <t>Ours (ps112)</t>
    <phoneticPr fontId="2" type="noConversion"/>
  </si>
  <si>
    <t>Ours (weight_decay 0.0, ps112, drop0.1)</t>
    <phoneticPr fontId="2" type="noConversion"/>
  </si>
  <si>
    <t>/home/cau/workspace/CHOI/cau_cats/log/Sewer-TAPNEW/run_20251113_162922</t>
  </si>
  <si>
    <t>/home/cau/workspace/CHOI/cau_cats/log/Sewer-TAPNEW/run_20251113_162925</t>
  </si>
  <si>
    <t>Ours (weight_decay 0.0, ps112, drop0.2)</t>
    <phoneticPr fontId="2" type="noConversion"/>
  </si>
  <si>
    <t>/home/cau/workspace/CHOI/cau_cats/log/Sewer-TAPNEW/run_20251113_163208</t>
  </si>
  <si>
    <t>/home/cau/workspace/CHOI/cau_cats/log/Sewer-TAPNEW/run_20251113_163211</t>
  </si>
  <si>
    <t>/home/cau/workspace/CHOI/cau_cats/log/Sewer-TAPNEW/run_20251113_170826</t>
  </si>
  <si>
    <t>/home/cau/workspace/CHOI/cau_cats/log/Sewer-TAPNEW/run_20251113_170827</t>
  </si>
  <si>
    <t>/home/cau/workspace/CHOI/cau_cats/log/Sewer-TAPNEW/run_20251113_170828</t>
  </si>
  <si>
    <t>log/Sewer-ML/baseline_resnet18_20251114_023329</t>
  </si>
  <si>
    <t>log/Sewer-ML/baseline_efficientnet_b0_20251114_023410</t>
  </si>
  <si>
    <t>/home/cau/workspace/CHOI/cau_cats/log/Sewer-TAPNEW/baseline_resnet18_20251113_174523</t>
    <phoneticPr fontId="2" type="noConversion"/>
  </si>
  <si>
    <t>/home/cau/workspace/CHOI/cau_cats/log/Sewer-TAPNEW/baseline_resnet18_20251113_174529</t>
  </si>
  <si>
    <t>/home/cau/workspace/CHOI/cau_cats/log/Sewer-TAPNEW/baseline_resnet18_20251113_174536</t>
  </si>
  <si>
    <t>/home/cau/workspace/CHOI/cau_cats/log/Sewer-TAPNEW/baseline_efficientnet_b0_20251113_180340</t>
  </si>
  <si>
    <t>/home/cau/workspace/CHOI/cau_cats/log/Sewer-TAPNEW/baseline_efficientnet_b0_20251113_181839</t>
  </si>
  <si>
    <t>/home/cau/workspace/CHOI/cau_cats/log/Sewer-TAPNEW/baseline_mobilenet_v4_20251113_181924</t>
  </si>
  <si>
    <t>/home/cau/workspace/CHOI/cau_cats/log/Sewer-TAPNEW/baseline_mobilenet_v4_20251113_181925</t>
  </si>
  <si>
    <t>/home/cau/workspace/CHOI/cau_cats/log/Sewer-TAPNEW/baseline_mobilenet_v4_20251113_183407</t>
  </si>
  <si>
    <t>weight_decay: adamW의 억제기, 물론 sgd에서도 사용하긴 하지만 그건 논문에서 지정한 0.0001이 있으므로 수정 안 함</t>
    <phoneticPr fontId="2" type="noConversion"/>
  </si>
  <si>
    <t>/home/cau/workspace/CHOI/cau_cats/log/Sewer-TAPNEW/run_20251113_233455</t>
  </si>
  <si>
    <t>/home/cau/workspace/CHOI/cau_cats/log/Sewer-TAPNEW/run_20251113_234041</t>
  </si>
  <si>
    <t>Ours (weight_decay 0.0, ps112, drop0.0)</t>
    <phoneticPr fontId="2" type="noConversion"/>
  </si>
  <si>
    <t>/home/cau/workspace/CHOI/cau_cats/log/Sewer-TAPNEW/run_20251113_235657</t>
  </si>
  <si>
    <t>/home/cau/workspace/CHOI/cau_cats/log/Sewer-TAPNEW/run_20251113_235659</t>
  </si>
  <si>
    <t>/home/cau/workspace/CHOI/cau_cats/log/Sewer-TAPNEW/run_20251114_003228</t>
  </si>
  <si>
    <t>/home/cau/workspace/CHOI/cau_cats/log/Sewer-TAPNEW/run_20251114_003231</t>
  </si>
  <si>
    <t>Ours (weight_decay 0.1, ps112, drop0.1)</t>
    <phoneticPr fontId="2" type="noConversion"/>
  </si>
  <si>
    <t>/home/cau/workspace/CHOI/cau_cats/log/Sewer-TAPNEW/baseline_xie2019_20251114_020651</t>
  </si>
  <si>
    <t>/home/cau/workspace/CHOI/cau_cats/log/Sewer-TAPNEW/baseline_xie2019_20251114_020728</t>
  </si>
  <si>
    <t>/home/cau/workspace/CHOI/cau_cats/log/Sewer-TAPNEW/baseline_xie2019_20251114_020734</t>
  </si>
  <si>
    <t>/home/cau/workspace/CHOI/cau_cats/log/Sewer-TAPNEW/baseline_xie2019_20251114_023940</t>
  </si>
  <si>
    <t>/home/cau/workspace/CHOI/cau_cats/log/Sewer-TAPNEW/baseline_xie2019_20251114_023943</t>
  </si>
  <si>
    <t>Ours (weight_decay 0.0, ps112, drop0.1, res_attn)</t>
  </si>
  <si>
    <t>Ours (weight_decay 0.0, ps112, drop0.1, res_attn)</t>
    <phoneticPr fontId="2" type="noConversion"/>
  </si>
  <si>
    <t>/home/cau/workspace/CHOI/cau_cats/log/Sewer-TAPNEW/run_20251114_032415</t>
  </si>
  <si>
    <t>/home/cau/workspace/CHOI/cau_cats/log/Sewer-TAPNEW/run_20251114_032423</t>
  </si>
  <si>
    <t>Ours (weight_decay 0.0, ps112, drop0.1, layers5)</t>
    <phoneticPr fontId="2" type="noConversion"/>
  </si>
  <si>
    <t>/home/cau/workspace/CHOI/cau_cats/log/Sewer-TAPNEW/run_20251114_042859</t>
  </si>
  <si>
    <t>/home/cau/workspace/CHOI/cau_cats/log/Sewer-TAPNEW/run_20251114_042902</t>
  </si>
  <si>
    <t>/home/cau/workspace/CHOI/cau_cats/log/Sewer-TAPNEW/run_20251114_044732</t>
  </si>
  <si>
    <t>/home/cau/workspace/CHOI/cau_cats/log/Sewer-TAPNEW/run_20251114_044735</t>
  </si>
  <si>
    <t>Ours (weight_decay 0.0, ps112, drop0.1, patch2)</t>
    <phoneticPr fontId="2" type="noConversion"/>
  </si>
  <si>
    <t>Ours (weight_decay 0.0, ps112, drop0.1, ff_ratio4)</t>
    <phoneticPr fontId="2" type="noConversion"/>
  </si>
  <si>
    <t>/home/cau/workspace/CHOI/cau_cats/log/Sewer-TAPNEW/run_20251114_050317</t>
  </si>
  <si>
    <t>/home/cau/workspace/CHOI/cau_cats/log/Sewer-TAPNEW/run_20251114_050319</t>
  </si>
  <si>
    <t>/home/cau/workspace/CHOI/cau_cats/log/Sewer-TAPNEW/run_20251114_051934</t>
  </si>
  <si>
    <t>/home/cau/workspace/CHOI/cau_cats/log/Sewer-TAPNEW/run_20251114_053413</t>
  </si>
  <si>
    <t>/home/cau/workspace/CHOI/cau_cats/log/Sewer-TAPNEW/run_20251114_051937</t>
    <phoneticPr fontId="2" type="noConversion"/>
  </si>
  <si>
    <t>/home/cau/workspace/CHOI/cau_cats/log/Sewer-TAPNEW/run_20251114_053533</t>
  </si>
  <si>
    <t>/home/cau/workspace/CHOI/cau_cats/log/Sewer-TAPNEW/run_20251114_055325</t>
  </si>
  <si>
    <t>/home/cau/workspace/CHOI/cau_cats/log/Sewer-TAPNEW/run_20251114_055328</t>
  </si>
  <si>
    <t>Ours (weight_decay 0.0, ps112, drop0.1, res_attn, patch2)</t>
    <phoneticPr fontId="2" type="noConversion"/>
  </si>
  <si>
    <t>/home/cau/workspace/CHOI/cau_cats/log/Sewer-TAPNEW/run_20251114_061035</t>
  </si>
  <si>
    <t>/home/cau/workspace/CHOI/cau_cats/log/Sewer-TAPNEW/run_20251114_061038</t>
  </si>
  <si>
    <t>d</t>
    <phoneticPr fontId="2" type="noConversion"/>
  </si>
  <si>
    <t>xie2019_binary.json</t>
  </si>
  <si>
    <t>Ours 초기값: adamaWweight_decay 0.01, drop 0.01, feat2, ps56, res_attn false, layers2, patch1, ff_ratio2,</t>
    <phoneticPr fontId="2" type="noConversion"/>
  </si>
  <si>
    <t xml:space="preserve"> best_model_criteria</t>
  </si>
  <si>
    <t xml:space="preserve"> best_model_criteria</t>
    <phoneticPr fontId="2" type="noConversion"/>
  </si>
  <si>
    <t>val_loss</t>
  </si>
  <si>
    <t>val_loss</t>
    <phoneticPr fontId="2" type="noConversion"/>
  </si>
  <si>
    <t>/home/cau/workspace/CHOI/cau_cats/log/Sewer-TAPNEW/run_20251114_165007</t>
  </si>
  <si>
    <t>/home/cau/workspace/CHOI/cau_cats/log/Sewer-TAPNEW/run_20251114_165010</t>
  </si>
  <si>
    <t>/home/cau/workspace/CHOI/cau_cats/log/Sewer-TAPNEW/run_20251114_165103</t>
  </si>
  <si>
    <t>/home/cau/workspace/CHOI/cau_cats/log/Sewer-TAPNEW/run_20251114_165106</t>
  </si>
  <si>
    <t>/home/cau/workspace/CHOI/cau_cats/log/Sewer-TAPNEW/run_20251114_172252</t>
  </si>
  <si>
    <t>/home/cau/workspace/CHOI/cau_cats/log/Sewer-TAPNEW/run_20251114_172253</t>
  </si>
  <si>
    <t>/home/cau/workspace/CHOI/cau_cats/log/Sewer-TAPNEW/run_20251114_172359</t>
  </si>
  <si>
    <t>/home/cau/workspace/CHOI/cau_cats/log/Sewer-TAPNEW/run_20251114_172405</t>
  </si>
  <si>
    <t>/home/cau/workspace/CHOI/cau_cats/log/Sewer-TAPNEW/run_20251114_175631</t>
  </si>
  <si>
    <t>Ours (weight_decay 0.001, ps112, drop0.2)</t>
    <phoneticPr fontId="2" type="noConversion"/>
  </si>
  <si>
    <t>/home/cau/workspace/CHOI/cau_cats/log/Sewer-TAPNEW/run_20251114_180006</t>
  </si>
  <si>
    <t>/home/cau/workspace/CHOI/cau_cats/log/Sewer-TAPNEW/run_20251114_182758</t>
  </si>
  <si>
    <t>Ours (weight_decay 0.01, ps112, drop0.1)</t>
    <phoneticPr fontId="2" type="noConversion"/>
  </si>
  <si>
    <t>/home/cau/workspace/CHOI/cau_cats/log/Sewer-TAPNEW/run_20251114_183042</t>
    <phoneticPr fontId="2" type="noConversion"/>
  </si>
  <si>
    <t>/home/cau/workspace/CHOI/cau_cats/log/Sewer-TAPNEW/run_20251114_183043</t>
  </si>
  <si>
    <t>/home/cau/workspace/CHOI/cau_cats/log/Sewer-TAPNEW/baseline_resnet18_20251114_230634</t>
  </si>
  <si>
    <t>/home/cau/workspace/CHOI/cau_cats/log/Sewer-TAPNEW/baseline_resnet18_20251114_230649</t>
  </si>
  <si>
    <t>/home/cau/workspace/CHOI/cau_cats/log/Sewer-TAPNEW/baseline_resnet18_20251114_230706</t>
  </si>
  <si>
    <t>/home/cau/workspace/CHOI/cau_cats/log/Sewer-TAPNEW/baseline_resnet18_20251114_230657</t>
  </si>
  <si>
    <t>SGD Momentum</t>
  </si>
  <si>
    <t>/home/cau/workspace/CHOI/cau_cats/log/Sewer-TAPNEW/baseline_efficientnet_b0_20251115_043509</t>
  </si>
  <si>
    <t>/home/cau/workspace/CHOI/cau_cats/log/Sewer-TAPNEW/baseline_efficientnet_b0_20251115_043520</t>
  </si>
  <si>
    <t>/home/cau/workspace/CHOI/cau_cats/log/Sewer-TAPNEW/baseline_efficientnet_b0_20251115_043537</t>
  </si>
  <si>
    <t>/home/cau/workspace/CHOI/cau_cats/log/Sewer-TAPNEW/baseline_efficientnet_b0_20251115_043545</t>
  </si>
  <si>
    <t>/home/cau/workspace/CHOI/cau_cats/log/Sewer-TAPNEW/baseline_mobilenet_v4_20251115_053416</t>
  </si>
  <si>
    <t>/home/cau/workspace/CHOI/cau_cats/log/Sewer-TAPNEW/baseline_mobilenet_v4_20251115_053417</t>
  </si>
  <si>
    <t>/home/cau/workspace/CHOI/cau_cats/log/Sewer-TAPNEW/baseline_mobilenet_v4_20251115_053418</t>
  </si>
  <si>
    <t>/home/cau/workspace/CHOI/cau_cats/log/Sewer-TAPNEW/baseline_mobilenet_v4_20251115_053419</t>
    <phoneticPr fontId="2" type="noConversion"/>
  </si>
  <si>
    <t>/home/cau/workspace/CHOI/cau_cats/log/Sewer-TAPNEW/baseline_xie2019_20251115_060858</t>
  </si>
  <si>
    <t>/home/cau/workspace/CHOI/cau_cats/log/Sewer-TAPNEW/baseline_xie2019_20251115_060859</t>
  </si>
  <si>
    <t>/home/cau/workspace/CHOI/cau_cats/log/Sewer-TAPNEW/baseline_xie2019_20251115_060900</t>
  </si>
  <si>
    <t>/home/cau/workspace/CHOI/cau_cats/log/Sewer-TAPNEW/baseline_xie2019_20251115_060901</t>
  </si>
  <si>
    <t>/home/cau/workspace/CHOI/cau_cats/log/Sewer-TAPNEW/baseline_resnet18_20251115_064509</t>
  </si>
  <si>
    <t>/home/cau/workspace/CHOI/cau_cats/log/Sewer-TAPNEW/baseline_efficientnet_b0_20251115_064518</t>
  </si>
  <si>
    <t>/home/cau/workspace/CHOI/cau_cats/log/Sewer-TAPNEW/baseline_mobilenet_v4_20251115_064527</t>
  </si>
  <si>
    <t>log/Sewer-ML/baseline_resnet18_20251115_022740</t>
  </si>
  <si>
    <t>log/Sewer-ML/baseline_efficientnet_b0_20251115_154854</t>
  </si>
  <si>
    <t>/home/cau/workspace/CHOI/cau_cats/log/Sewer-TAPNEW/run_20251115_071914</t>
  </si>
  <si>
    <t>/home/cau/workspace/CHOI/cau_cats/log/Sewer-TAPNEW/run_20251115_071915</t>
  </si>
  <si>
    <t>/home/cau/workspace/CHOI/cau_cats/log/Sewer-TAPNEW/run_20251115_071918</t>
  </si>
  <si>
    <t>Ours (weight_decay 0.01, ps56, drop0.1)</t>
    <phoneticPr fontId="2" type="noConversion"/>
  </si>
  <si>
    <t>/home/cau/workspace/CHOI/cau_cats/log/Sewer-TAPNEW/run_20251115_075111</t>
  </si>
  <si>
    <t>/home/cau/workspace/CHOI/cau_cats/log/Sewer-TAPNEW/run_20251115_095755</t>
  </si>
  <si>
    <t>Ours 2 (weight_decay 0.01, ps112, drop0.1)</t>
    <phoneticPr fontId="2" type="noConversion"/>
  </si>
  <si>
    <t>/home/cau/workspace/CHOI/cau_cats/log/Sewer-TAPNEW/run_20251115_112923</t>
  </si>
  <si>
    <t>/home/cau/workspace/CHOI/cau_cats/log/Sewer-TAPNEW/run_20251115_115250</t>
  </si>
  <si>
    <t>Ours 2 (weight_decay 0.1, ps112, drop0.1)</t>
    <phoneticPr fontId="2" type="noConversion"/>
  </si>
  <si>
    <t>log/Sewer-ML/baseline_mobilenet_v4_20251116_090355</t>
  </si>
  <si>
    <t>/home/cau/workspace/CHOI/cau_cats/log/Sewer-TAPNEW/run_20251116_112919</t>
  </si>
  <si>
    <t>/home/cau/workspace/CHOI/cau_cats/log/Sewer-TAPNEW/run_20251116_112927</t>
  </si>
  <si>
    <t>/home/cau/workspace/CHOI/cau_cats/log/Sewer-TAPNEW/run_20251116_112934</t>
  </si>
  <si>
    <t>/home/cau/workspace/CHOI/cau_cats/log/Sewer-TAPNEW/run_20251116_112503</t>
    <phoneticPr fontId="2" type="noConversion"/>
  </si>
  <si>
    <t>/home/cau/workspace/CHOI/cau_cats/log/Sewer-TAPNEW/run_20251116_115427</t>
  </si>
  <si>
    <t>Ours (weight_decay 0.01, ps112, drop0.1, rest_attn)</t>
    <phoneticPr fontId="2" type="noConversion"/>
  </si>
  <si>
    <t>Ours (weight_decay 0.1, ps112, drop0.1, res_attn)</t>
    <phoneticPr fontId="2" type="noConversion"/>
  </si>
  <si>
    <t>/home/cau/workspace/CHOI/cau_cats/log/Sewer-TAPNEW/run_20251116_120247</t>
  </si>
  <si>
    <t>/home/cau/workspace/CHOI/cau_cats/log/Sewer-TAPNEW/run_20251116_120248</t>
  </si>
  <si>
    <t>/home/cau/workspace/CHOI/cau_cats/log/Sewer-TAPNEW/run_20251116_120249</t>
  </si>
  <si>
    <t>/home/cau/workspace/CHOI/cau_cats/log/Sewer-TAPNEW/run_20251116_122527</t>
  </si>
  <si>
    <t>/home/cau/workspace/CHOI/cau_cats/log/Sewer-TAPNEW/run_20251116_123254</t>
  </si>
  <si>
    <t>/home/cau/workspace/CHOI/cau_cats/log/Sewer-TAPNEW/run_20251116_123335</t>
  </si>
  <si>
    <t>/home/cau/workspace/CHOI/cau_cats/log/Sewer-TAPNEW/run_20251116_123336</t>
  </si>
  <si>
    <t>/home/cau/workspace/CHOI/cau_cats/log/Sewer-TAPNEW/run_20251116_125631</t>
  </si>
  <si>
    <t>Ours (weight_decay 0.01, ps224, drop0.1)</t>
    <phoneticPr fontId="2" type="noConversion"/>
  </si>
  <si>
    <t>/home/cau/workspace/CHOI/cau_cats/log/Sewer-TAPNEW/run_20251116_130420</t>
  </si>
  <si>
    <t>/home/cau/workspace/CHOI/cau_cats/log/Sewer-TAPNEW/run_20251116_130422</t>
    <phoneticPr fontId="2" type="noConversion"/>
  </si>
  <si>
    <t>/home/cau/workspace/CHOI/cau_cats/log/Sewer-TAPNEW/run_20251116_130423</t>
    <phoneticPr fontId="2" type="noConversion"/>
  </si>
  <si>
    <t>Ours (weight_decay 0.1, ps112, drop0.1, res_attn, emb_dim 36)</t>
    <phoneticPr fontId="2" type="noConversion"/>
  </si>
  <si>
    <t>Ours (weight_decay 0.1, ps112, drop0.1, res_attn, emb_dim 48)</t>
    <phoneticPr fontId="2" type="noConversion"/>
  </si>
  <si>
    <t>/home/cau/workspace/CHOI/cau_cats/log/Sewer-TAPNEW/run_20251116_135506</t>
  </si>
  <si>
    <t>/home/cau/workspace/CHOI/cau_cats/log/Sewer-TAPNEW/run_20251116_135512</t>
  </si>
  <si>
    <t>/home/cau/workspace/CHOI/cau_cats/log/Sewer-TAPNEW/run_20251116_135528</t>
  </si>
  <si>
    <t>/home/cau/workspace/CHOI/cau_cats/log/Sewer-TAPNEW/run_20251116_135522</t>
    <phoneticPr fontId="2" type="noConversion"/>
  </si>
  <si>
    <t>Ours (weight_decay 0.15, ps112, drop0.1, res_attn)</t>
    <phoneticPr fontId="2" type="noConversion"/>
  </si>
  <si>
    <t>/home/cau/workspace/CHOI/cau_cats/log/Sewer-TAPNEW/run_20251116_142843</t>
  </si>
  <si>
    <t>/home/cau/workspace/CHOI/cau_cats/log/Sewer-TAPNEW/run_20251116_142844</t>
  </si>
  <si>
    <t>/home/cau/workspace/CHOI/cau_cats/log/Sewer-TAPNEW/run_20251116_142845</t>
  </si>
  <si>
    <t>/home/cau/workspace/CHOI/cau_cats/log/Sewer-TAPNEW/run_20251116_142846</t>
  </si>
  <si>
    <t>/home/cau/workspace/CHOI/cau_cats/log/Sewer-TAPNEW/run_20251117_020953</t>
  </si>
  <si>
    <t>/home/cau/workspace/CHOI/cau_cats/log/Sewer-TAPNEW/run_20251117_021033</t>
  </si>
  <si>
    <t>/home/cau/workspace/CHOI/cau_cats/log/Sewer-TAPNEW/run_20251117_021113</t>
    <phoneticPr fontId="2" type="noConversion"/>
  </si>
  <si>
    <t>Ours (weight_decay 0.15, ps112, drop0.1, res_attn, lr 0.002)</t>
    <phoneticPr fontId="2" type="noConversion"/>
  </si>
  <si>
    <t>Ours 초기값: adamaWweight_decay 0.01, drop 0.01, feat2, ps56, res_attn false, layers2, patch1, ff_ratio2, lr0.001, PEtrue</t>
    <phoneticPr fontId="2" type="noConversion"/>
  </si>
  <si>
    <t>log/Sewer-ML/run_20251116_224104</t>
    <phoneticPr fontId="2" type="noConversion"/>
  </si>
  <si>
    <t>Ours (weight_decay 0.1, ps112, drop0.1, res_attn, layers5)</t>
    <phoneticPr fontId="2" type="noConversion"/>
  </si>
  <si>
    <t>/home/cau/workspace/CHOI/cau_cats/log/Sewer-TAPNEW/run_20251117_122344</t>
  </si>
  <si>
    <t>/home/cau/workspace/CHOI/cau_cats/log/Sewer-TAPNEW/run_20251117_122353</t>
  </si>
  <si>
    <t>/home/cau/workspace/CHOI/cau_cats/log/Sewer-TAPNEW/run_20251117_122414</t>
    <phoneticPr fontId="2" type="noConversion"/>
  </si>
  <si>
    <t>/home/cau/workspace/CHOI/cau_cats/log/Sewer-TAPNEW/run_20251117_122419</t>
  </si>
  <si>
    <t>Ours (weight_decay 0.1, ps112, drop0.1, layers5)</t>
    <phoneticPr fontId="2" type="noConversion"/>
  </si>
  <si>
    <t>/home/cau/workspace/CHOI/cau_cats/log/Sewer-TAPNEW/run_20251117_125510</t>
  </si>
  <si>
    <t>/home/cau/workspace/CHOI/cau_cats/log/Sewer-TAPNEW/run_20251117_125511</t>
  </si>
  <si>
    <t>/home/cau/workspace/CHOI/cau_cats/log/Sewer-TAPNEW/run_20251117_125513</t>
  </si>
  <si>
    <t>/home/cau/workspace/CHOI/cau_cats/log/Sewer-TAPNEW/run_20251117_125514</t>
  </si>
  <si>
    <t>/home/cau/workspace/CHOI/cau_cats/log/Sewer-TAPNEW/run_20251115_072026</t>
    <phoneticPr fontId="2" type="noConversion"/>
  </si>
  <si>
    <t>Ours (weight_decay 0.005, ps112, drop0.1, res_attn)</t>
    <phoneticPr fontId="2" type="noConversion"/>
  </si>
  <si>
    <t>Ours (weight_decay 0.0001, ps112, drop0.1, res_attn)</t>
  </si>
  <si>
    <t>Ours (weight_decay 0.0001, ps112, drop0.1, res_attn)</t>
    <phoneticPr fontId="2" type="noConversion"/>
  </si>
  <si>
    <t>/home/cau/workspace/CHOI/cau_cats/log/Sewer-TAPNEW/run_20251117_134016</t>
    <phoneticPr fontId="2" type="noConversion"/>
  </si>
  <si>
    <t>/home/cau/workspace/CHOI/cau_cats/log/Sewer-TAPNEW/run_20251117_134020</t>
  </si>
  <si>
    <t>/home/cau/workspace/CHOI/cau_cats/log/Sewer-TAPNEW/run_20251117_134024</t>
  </si>
  <si>
    <t>/home/cau/workspace/CHOI/cau_cats/log/Sewer-TAPNEW/run_20251117_134029</t>
  </si>
  <si>
    <t>sgd</t>
  </si>
  <si>
    <t>sgd</t>
    <phoneticPr fontId="2" type="noConversion"/>
  </si>
  <si>
    <t>multisteplr(30,60,80, 0.1)</t>
  </si>
  <si>
    <t>multisteplr(30,60,80, 0.1)</t>
    <phoneticPr fontId="2" type="noConversion"/>
  </si>
  <si>
    <t>/home/cau/workspace/CHOI/cau_cats/log/Sewer-TAPNEW/run_20251117_141202</t>
  </si>
  <si>
    <t>Ours (weight_decay 0.0001, ps112, drop0.1, res_attn, lr 0.001)</t>
    <phoneticPr fontId="2" type="noConversion"/>
  </si>
  <si>
    <t>Ours (weight_decay 0.0001, ps112, drop0.1, res_attn, lr 0.1)</t>
  </si>
  <si>
    <t>Ours (weight_decay 0.0001, ps112, drop0.1, res_attn, lr 0.1)</t>
    <phoneticPr fontId="2" type="noConversion"/>
  </si>
  <si>
    <t>/home/cau/workspace/CHOI/cau_cats/log/Sewer-TAPNEW/run_20251117_142955</t>
  </si>
  <si>
    <t>multisteplr(30,50,70,80 0.1)</t>
  </si>
  <si>
    <t>multisteplr(30,50,70,80 0.1)</t>
    <phoneticPr fontId="2" type="noConversion"/>
  </si>
  <si>
    <t>/home/cau/workspace/CHOI/cau_cats/log/Sewer-TAPNEW/run_20251117_144506</t>
  </si>
  <si>
    <t>/home/cau/workspace/CHOI/cau_cats/log/Sewer-TAPNEW/run_20251117_145057</t>
  </si>
  <si>
    <t>/home/cau/workspace/CHOI/cau_cats/log/Sewer-TAPNEW/run_20251117_145134</t>
  </si>
  <si>
    <t>/home/cau/workspace/CHOI/cau_cats/log/Sewer-TAPNEW/run_20251117_150009</t>
  </si>
  <si>
    <t>Ours (weight_decay 0.0001, ps112, drop0.1, res_attn, eta_min0.0003)</t>
    <phoneticPr fontId="2" type="noConversion"/>
  </si>
  <si>
    <t>/home/cau/workspace/CHOI/cau_cats/log/Sewer-TAPNEW/run_20251117_151835</t>
  </si>
  <si>
    <t>/home/cau/workspace/CHOI/cau_cats/log/Sewer-TAPNEW/run_20251117_152215</t>
  </si>
  <si>
    <t>/home/cau/workspace/CHOI/cau_cats/log/Sewer-TAPNEW/run_20251117_152240</t>
  </si>
  <si>
    <t>Ours (weight_decay 0.0001, ps112, drop0.1, res_attn, eta_min0.0005)</t>
    <phoneticPr fontId="2" type="noConversion"/>
  </si>
  <si>
    <t>Ours (weight_decay 0.0001, ps112, drop0.1, res_attn, eta_min0.0001)</t>
    <phoneticPr fontId="2" type="noConversion"/>
  </si>
  <si>
    <t>/home/cau/workspace/CHOI/cau_cats/log/Sewer-TAPNEW/run_20251117_153225</t>
  </si>
  <si>
    <t>/home/cau/workspace/CHOI/cau_cats/log/Sewer-TAPNEW/run_20251117_155414</t>
  </si>
  <si>
    <t>/home/cau/workspace/CHOI/cau_cats/log/Sewer-TAPNEW/run_20251117_155419</t>
  </si>
  <si>
    <t>/home/cau/workspace/CHOI/cau_cats/log/Sewer-TAPNEW/run_20251117_155650</t>
  </si>
  <si>
    <t>log/Sewer-ML/run_20251118_010421</t>
  </si>
  <si>
    <t>Best model's Test ACC</t>
    <phoneticPr fontId="2" type="noConversion"/>
  </si>
  <si>
    <t>Final epoch's train ACC</t>
    <phoneticPr fontId="2" type="noConversion"/>
  </si>
  <si>
    <t>Ours (weight_decay 0.0001, ps56, drop0.1, res_attn)</t>
    <phoneticPr fontId="2" type="noConversion"/>
  </si>
  <si>
    <t>/home/cau/workspace/CHOI/cau_cats/log/Sewer-TAPNEW/run_20251118_070356</t>
  </si>
  <si>
    <t>/home/cau/workspace/CHOI/cau_cats/log/Sewer-TAPNEW/run_20251118_070401</t>
  </si>
  <si>
    <t>/home/cau/workspace/CHOI/cau_cats/log/Sewer-TAPNEW/run_20251118_070406</t>
  </si>
  <si>
    <t>/home/cau/workspace/CHOI/cau_cats/log/Sewer-TAPNEW/run_20251118_070411</t>
  </si>
  <si>
    <t>3, 224, 224</t>
  </si>
  <si>
    <t>3, 225, 225</t>
    <phoneticPr fontId="2" type="noConversion"/>
  </si>
  <si>
    <t>Ours (weight_decay 0.0001, ps75, drop0.1, res_attn)</t>
    <phoneticPr fontId="2" type="noConversion"/>
  </si>
  <si>
    <t>/home/cau/workspace/CHOI/cau_cats/log/Sewer-TAPNEW/run_20251118_104100</t>
  </si>
  <si>
    <t>/home/cau/workspace/CHOI/cau_cats/log/Sewer-TAPNEW/run_20251118_104102</t>
  </si>
  <si>
    <t>/home/cau/workspace/CHOI/cau_cats/log/Sewer-TAPNEW/run_20251118_104114</t>
  </si>
  <si>
    <t>/home/cau/workspace/CHOI/cau_cats/log/Sewer-TAPNEW/run_20251118_104120</t>
  </si>
  <si>
    <t>Ours (weight_decay 0.0001, ps112, drop0.1, res_attn, stride56)</t>
    <phoneticPr fontId="2" type="noConversion"/>
  </si>
  <si>
    <t>/home/cau/workspace/CHOI/cau_cats/log/Sewer-TAPNEW/run_20251118_113031</t>
  </si>
  <si>
    <t>Ours (weight_decay 0.0001, ps112, drop0.1, res_attn, stride56, eff_feat3, featured_patch_dim 40, emb_dim40)</t>
    <phoneticPr fontId="2" type="noConversion"/>
  </si>
  <si>
    <t>/home/cau/workspace/CHOI/cau_cats/log/Sewer-TAPNEW/run_20251118_115242</t>
  </si>
  <si>
    <t>Ours (weight_decay 0.0001, ps112, drop0.1, res_attn, stride112, eff_feat3, featured_patch_dim 40, emb_dim40)</t>
    <phoneticPr fontId="2" type="noConversion"/>
  </si>
  <si>
    <r>
      <t xml:space="preserve">Ours (weight_decay 0.0001, ps112, drop0.1, res_attn, </t>
    </r>
    <r>
      <rPr>
        <b/>
        <sz val="11"/>
        <color rgb="FFFF0000"/>
        <rFont val="맑은 고딕"/>
        <family val="3"/>
        <charset val="129"/>
        <scheme val="minor"/>
      </rPr>
      <t>stride56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</si>
  <si>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Ours (weight_decay 0.0001, ps112, drop0.1, res_attn, </t>
    </r>
    <r>
      <rPr>
        <sz val="11"/>
        <color rgb="FFFF0000"/>
        <rFont val="맑은 고딕"/>
        <family val="3"/>
        <charset val="129"/>
        <scheme val="minor"/>
      </rPr>
      <t>stride56</t>
    </r>
    <r>
      <rPr>
        <sz val="11"/>
        <color theme="1"/>
        <rFont val="맑은 고딕"/>
        <family val="3"/>
        <charset val="129"/>
        <scheme val="minor"/>
      </rPr>
      <t>, eff_feat3, featured_patch_dim 40, emb_dim40)</t>
    </r>
    <phoneticPr fontId="2" type="noConversion"/>
  </si>
  <si>
    <r>
      <t xml:space="preserve">Ours (weight_decay 0.0001, ps112, drop0.1, res_attn, </t>
    </r>
    <r>
      <rPr>
        <sz val="11"/>
        <color rgb="FFFF0000"/>
        <rFont val="맑은 고딕"/>
        <family val="3"/>
        <charset val="129"/>
        <scheme val="minor"/>
      </rPr>
      <t>stride112</t>
    </r>
    <r>
      <rPr>
        <sz val="11"/>
        <color theme="1"/>
        <rFont val="맑은 고딕"/>
        <family val="3"/>
        <charset val="129"/>
        <scheme val="minor"/>
      </rPr>
      <t>, eff_feat3, featured_patch_dim 40, emb_dim40)</t>
    </r>
    <phoneticPr fontId="2" type="noConversion"/>
  </si>
  <si>
    <t>폭주</t>
    <phoneticPr fontId="2" type="noConversion"/>
  </si>
  <si>
    <r>
      <t xml:space="preserve">Ours (weight_decay 0.0001, ps112, drop0.1, res_attn, stride56, </t>
    </r>
    <r>
      <rPr>
        <sz val="11"/>
        <color rgb="FFFF0000"/>
        <rFont val="맑은 고딕"/>
        <family val="3"/>
        <charset val="129"/>
        <scheme val="minor"/>
      </rPr>
      <t>eff_feat3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</si>
  <si>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Ours (weight_decay </t>
    </r>
    <r>
      <rPr>
        <sz val="11"/>
        <color rgb="FFFF0000"/>
        <rFont val="맑은 고딕"/>
        <family val="3"/>
        <charset val="129"/>
        <scheme val="minor"/>
      </rPr>
      <t>0.01</t>
    </r>
    <r>
      <rPr>
        <sz val="11"/>
        <color theme="1"/>
        <rFont val="맑은 고딕"/>
        <family val="3"/>
        <charset val="129"/>
        <scheme val="minor"/>
      </rPr>
      <t>, ps112, drop0.1, res_attn, stride56, eff_feat3)</t>
    </r>
    <phoneticPr fontId="2" type="noConversion"/>
  </si>
  <si>
    <t>Ours (weight_decay 0.001, ps112, drop0.1, res_attn, stride112, eff_feat3, featured_patch_dim 40, emb_dim40)</t>
    <phoneticPr fontId="2" type="noConversion"/>
  </si>
  <si>
    <t>Ours (weight_decay 0.01, ps112, drop0.1, res_attn, stride112, eff_feat3, featured_patch_dim 40, emb_dim40)</t>
    <phoneticPr fontId="2" type="noConversion"/>
  </si>
  <si>
    <t>/home/cau/workspace/CHOI/cau_cats/log/Sewer-TAPNEW/run_20251118_120152</t>
    <phoneticPr fontId="2" type="noConversion"/>
  </si>
  <si>
    <t>/home/cau/workspace/CHOI/cau_cats/log/Sewer-TAPNEW/run_20251118_125003</t>
  </si>
  <si>
    <t>/home/cau/workspace/CHOI/cau_cats/log/Sewer-TAPNEW/run_20251118_125014</t>
    <phoneticPr fontId="2" type="noConversion"/>
  </si>
  <si>
    <t>/home/cau/workspace/CHOI/cau_cats/log/Sewer-TAPNEW/run_20251118_125100</t>
  </si>
  <si>
    <t>Ours (weight_decay 0.1, ps112, drop0.1, res_attn, stride112, eff_feat3, featured_patch_dim 40, emb_dim40)</t>
    <phoneticPr fontId="2" type="noConversion"/>
  </si>
  <si>
    <t>Final epoch's val loss</t>
    <phoneticPr fontId="2" type="noConversion"/>
  </si>
  <si>
    <r>
      <t xml:space="preserve">Ours (weight_decay 0.0001, ps112, </t>
    </r>
    <r>
      <rPr>
        <sz val="11"/>
        <color rgb="FFFF0000"/>
        <rFont val="맑은 고딕"/>
        <family val="3"/>
        <charset val="129"/>
        <scheme val="minor"/>
      </rPr>
      <t>drop0.2</t>
    </r>
    <r>
      <rPr>
        <sz val="11"/>
        <color theme="1"/>
        <rFont val="맑은 고딕"/>
        <family val="3"/>
        <charset val="129"/>
        <scheme val="minor"/>
      </rPr>
      <t>, res_attn, stride112, eff_feat3, featured_patch_dim 40, emb_dim40)</t>
    </r>
    <phoneticPr fontId="2" type="noConversion"/>
  </si>
  <si>
    <t>Ours (weight_decay 0.001, ps112, drop0.2, res_attn, stride112, eff_feat3, featured_patch_dim 40, emb_dim40)</t>
    <phoneticPr fontId="2" type="noConversion"/>
  </si>
  <si>
    <t>Ours (weight_decay 0.01, ps112, drop0.2, res_attn, stride112, eff_feat3, featured_patch_dim 40, emb_dim40)</t>
    <phoneticPr fontId="2" type="noConversion"/>
  </si>
  <si>
    <t>Ours (weight_decay 0.1, ps112, drop0.2, res_attn, stride112, eff_feat3, featured_patch_dim 40, emb_dim40)</t>
    <phoneticPr fontId="2" type="noConversion"/>
  </si>
  <si>
    <t>/home/cau/workspace/CHOI/cau_cats/log/Sewer-TAPNEW/run_20251118_132107</t>
  </si>
  <si>
    <t>/home/cau/workspace/CHOI/cau_cats/log/Sewer-TAPNEW/run_20251118_132117</t>
  </si>
  <si>
    <t>/home/cau/workspace/CHOI/cau_cats/log/Sewer-TAPNEW/run_20251118_132126</t>
  </si>
  <si>
    <t>/home/cau/workspace/CHOI/cau_cats/log/Sewer-TAPNEW/run_20251118_132136</t>
  </si>
  <si>
    <r>
      <t xml:space="preserve">Ours (weight_decay 0.0001, ps112, drop0.1, res_attn, stride112, eff_feat3, featured_patch_dim 40, </t>
    </r>
    <r>
      <rPr>
        <sz val="11"/>
        <color rgb="FFFF0000"/>
        <rFont val="맑은 고딕"/>
        <family val="3"/>
        <charset val="129"/>
        <scheme val="minor"/>
      </rPr>
      <t>emb_dim24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</si>
  <si>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/home/cau/workspace/CHOI/cau_cats/log/Sewer-TAPNEW/run_20251118_135434</t>
  </si>
  <si>
    <r>
      <t xml:space="preserve">Ours (weight_decay 0.0001, ps112, drop0.1, res_attn, </t>
    </r>
    <r>
      <rPr>
        <sz val="11"/>
        <color rgb="FFFF0000"/>
        <rFont val="맑은 고딕"/>
        <family val="3"/>
        <charset val="129"/>
        <scheme val="minor"/>
      </rPr>
      <t>stride56</t>
    </r>
    <r>
      <rPr>
        <sz val="11"/>
        <color theme="1"/>
        <rFont val="맑은 고딕"/>
        <family val="3"/>
        <charset val="129"/>
        <scheme val="minor"/>
      </rPr>
      <t xml:space="preserve">, eff_feat3, featured_patch_dim 40, </t>
    </r>
    <r>
      <rPr>
        <sz val="11"/>
        <color rgb="FFFF0000"/>
        <rFont val="맑은 고딕"/>
        <family val="3"/>
        <charset val="129"/>
        <scheme val="minor"/>
      </rPr>
      <t>emb_dim24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</si>
  <si>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/home/cau/workspace/CHOI/cau_cats/log/Sewer-TAPNEW/run_20251118_135524</t>
  </si>
  <si>
    <t>/home/cau/workspace/CHOI/cau_cats/log/Sewer-TAPNEW/run_20251118_135858</t>
  </si>
  <si>
    <r>
      <t xml:space="preserve">Ours (weight_decay 0.0001, ps112, drop0.1, </t>
    </r>
    <r>
      <rPr>
        <sz val="11"/>
        <color rgb="FFFF0000"/>
        <rFont val="맑은 고딕"/>
        <family val="3"/>
        <charset val="129"/>
        <scheme val="minor"/>
      </rPr>
      <t>ps150, stride75</t>
    </r>
    <r>
      <rPr>
        <sz val="11"/>
        <color theme="1"/>
        <rFont val="맑은 고딕"/>
        <family val="3"/>
        <charset val="129"/>
        <scheme val="minor"/>
      </rPr>
      <t xml:space="preserve">, eff_feat3, featured_patch_dim 40, </t>
    </r>
    <r>
      <rPr>
        <sz val="11"/>
        <color rgb="FFFF0000"/>
        <rFont val="맑은 고딕"/>
        <family val="3"/>
        <charset val="129"/>
        <scheme val="minor"/>
      </rPr>
      <t>emb_dim24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</si>
  <si>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/home/cau/workspace/CHOI/cau_cats/log/Sewer-TAPNEW/run_20251118_141011</t>
  </si>
  <si>
    <t>/home/cau/workspace/CHOI/cau_cats/log/Sewer-TAPNEW/run_20251118_141244</t>
  </si>
  <si>
    <t>높음</t>
    <phoneticPr fontId="2" type="noConversion"/>
  </si>
  <si>
    <t>/home/cau/workspace/CHOI/cau_cats/log/Sewer-TAPNEW/run_20251118_142349</t>
  </si>
  <si>
    <r>
      <t xml:space="preserve">Ours (weight_decay 0.01, ps112, drop0.1,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lr0.0001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</si>
  <si>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/home/cau/workspace/CHOI/cau_cats/log/Sewer-TAPNEW/run_20251118_142646</t>
  </si>
  <si>
    <r>
      <t xml:space="preserve">Ours (weight_decay 0.01, ps112, drop0.1,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lr0.0005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</si>
  <si>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/home/cau/workspace/CHOI/cau_cats/log/Sewer-TAPNEW/run_20251118_142816</t>
  </si>
  <si>
    <r>
      <t xml:space="preserve">Ours (weight_decay 0.1, ps112, </t>
    </r>
    <r>
      <rPr>
        <sz val="11"/>
        <color rgb="FFFF0000"/>
        <rFont val="맑은 고딕"/>
        <family val="3"/>
        <charset val="129"/>
        <scheme val="minor"/>
      </rPr>
      <t>drop0.4</t>
    </r>
    <r>
      <rPr>
        <sz val="11"/>
        <color theme="1"/>
        <rFont val="맑은 고딕"/>
        <family val="3"/>
        <charset val="129"/>
        <scheme val="minor"/>
      </rPr>
      <t xml:space="preserve">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lr0.0001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</si>
  <si>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 xml:space="preserve">Ours (weight_decay 0.1, ps112, drop0.1, res_attn, stride112, eff_feat3, featured_patch_dim 40, emb_dim40, </t>
    </r>
    <r>
      <rPr>
        <b/>
        <sz val="11"/>
        <color rgb="FFFF0000"/>
        <rFont val="맑은 고딕"/>
        <family val="3"/>
        <charset val="129"/>
        <scheme val="minor"/>
      </rPr>
      <t>lr0.0001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</si>
  <si>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/home/cau/workspace/CHOI/cau_cats/log/Sewer-TAPNEW/run_20251118_145819</t>
  </si>
  <si>
    <r>
      <t xml:space="preserve">Ours (weight_decay 0.001, ps112, </t>
    </r>
    <r>
      <rPr>
        <sz val="11"/>
        <color rgb="FFFF0000"/>
        <rFont val="맑은 고딕"/>
        <family val="3"/>
        <charset val="129"/>
        <scheme val="minor"/>
      </rPr>
      <t>drop0.4</t>
    </r>
    <r>
      <rPr>
        <sz val="11"/>
        <color theme="1"/>
        <rFont val="맑은 고딕"/>
        <family val="3"/>
        <charset val="129"/>
        <scheme val="minor"/>
      </rPr>
      <t xml:space="preserve">, res_attn, stride112, eff_feat3, featured_patch_dim 40, emb_dim40, </t>
    </r>
    <r>
      <rPr>
        <sz val="11"/>
        <color rgb="FFFF0000"/>
        <rFont val="맑은 고딕"/>
        <family val="3"/>
        <charset val="129"/>
        <scheme val="minor"/>
      </rPr>
      <t>lr0.0001</t>
    </r>
    <r>
      <rPr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</si>
  <si>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/home/cau/workspace/CHOI/cau_cats/log/Sewer-TAPNEW/run_20251118_145932</t>
  </si>
  <si>
    <t>Ours (weight_decay 0.001, ps112, drop0.4, stride112, eff_feat3, featured_patch_dim 40, emb_dim40, lr0.0001)</t>
    <phoneticPr fontId="2" type="noConversion"/>
  </si>
  <si>
    <t>0.4대</t>
  </si>
  <si>
    <t>0.4대</t>
    <phoneticPr fontId="2" type="noConversion"/>
  </si>
  <si>
    <t>/home/cau/workspace/CHOI/cau_cats/log/Sewer-TAPNEW/run_20251118_150305</t>
    <phoneticPr fontId="2" type="noConversion"/>
  </si>
  <si>
    <t>Ours (weight_decay 0.01, ps112, drop0.1, stride112, eff_feat3, featured_patch_dim 40, emb_dim40, lr0.0001)</t>
    <phoneticPr fontId="2" type="noConversion"/>
  </si>
  <si>
    <t>Ours (weight_decay 0.01, ps112, drop0.1, stride112, eff_feat3, featured_patch_dim 40, emb_dim24, lr0.0001)</t>
    <phoneticPr fontId="2" type="noConversion"/>
  </si>
  <si>
    <t>Ours (weight_decay 0.01, ps112, drop0.1, stride112, eff_feat3, featured_patch_dim 40, emb_dim24, lr0.0001, decoderlayes1)</t>
    <phoneticPr fontId="2" type="noConversion"/>
  </si>
  <si>
    <t>/home/cau/workspace/CHOI/cau_cats/log/Sewer-TAPNEW/run_20251118_152202</t>
  </si>
  <si>
    <t>/home/cau/workspace/CHOI/cau_cats/log/Sewer-TAPNEW/run_20251118_152210</t>
  </si>
  <si>
    <t>/home/cau/workspace/CHOI/cau_cats/log/Sewer-TAPNEW/run_20251118_152234</t>
  </si>
  <si>
    <t>Ours (weight_decay 0.0001, ps112, drop0.1, res_attn, stride112)</t>
    <phoneticPr fontId="2" type="noConversion"/>
  </si>
  <si>
    <t>/home/cau/workspace/CHOI/cau_cats/log/Sewer-TAPNEW/run_20251118_235148</t>
  </si>
  <si>
    <t>log/Sewer-ML/run_20251118_160009</t>
    <phoneticPr fontId="2" type="noConversion"/>
  </si>
  <si>
    <t>log/Sewer-ML/run_20251119_075942</t>
    <phoneticPr fontId="2" type="noConversion"/>
  </si>
  <si>
    <t>/home/cau/workspace/CHOI/cau_cats/log/Sewer-TAPNEW/run_20251119_000914</t>
  </si>
  <si>
    <t>Ours (weight_decay 0.0001, ps112, drop0.1, res_attn, stride112, Tmax20)</t>
    <phoneticPr fontId="2" type="noConversion"/>
  </si>
  <si>
    <t>/home/cau/workspace/CHOI/cau_cats/log/Sewer-TAPNEW/run_20251119_001135</t>
  </si>
  <si>
    <t>Ours (weight_decay 0.0001, ps112, drop0.1, res_attn, stride112, scheduler none, lr 0.0001)</t>
    <phoneticPr fontId="2" type="noConversion"/>
  </si>
  <si>
    <t>Ours (weight_decay 0.0001, ps112, drop0.1, res_attn, stride112, scheduler none, lr 0.001)</t>
    <phoneticPr fontId="2" type="noConversion"/>
  </si>
  <si>
    <t>/home/cau/workspace/CHOI/cau_cats/log/Sewer-TAPNEW/run_20251119_002159</t>
  </si>
  <si>
    <t>Ours (weight_decay 0.0001, ps56, drop0.1, res_attn, stride28)</t>
    <phoneticPr fontId="2" type="noConversion"/>
  </si>
  <si>
    <t>Ours (weight_decay 0.0001, ps112, drop0.1, res_attn, stride112, Tmax30)</t>
    <phoneticPr fontId="2" type="noConversion"/>
  </si>
  <si>
    <t>/home/cau/workspace/CHOI/cau_cats/log/Sewer-TAPNEW/run_20251119_004304</t>
  </si>
  <si>
    <t>Ours (weight_decay 0.0001, ps112, drop0.1, res_attn, stride112, Tmax30, decoderpatch2)</t>
    <phoneticPr fontId="2" type="noConversion"/>
  </si>
  <si>
    <t>/home/cau/workspace/CHOI/cau_cats/log/Sewer-TAPNEW/run_20251119_005033</t>
  </si>
  <si>
    <t>Ours (weight_decay 0.0001, ps112, drop0.1, res_attn, stride112, Tmax30, lr 0.0001)</t>
    <phoneticPr fontId="2" type="noConversion"/>
  </si>
  <si>
    <t>/home/cau/workspace/CHOI/cau_cats/log/Sewer-TAPNEW/run_20251119_011516</t>
  </si>
  <si>
    <t>90에포크까지 천천히 지속적으로 val loss가 감소함</t>
    <phoneticPr fontId="2" type="noConversion"/>
  </si>
  <si>
    <t>시작하자마자 20 에포크 이전에 이미 val loss가 최소치로 내려가고, 그 이후로 정체됨</t>
    <phoneticPr fontId="2" type="noConversion"/>
  </si>
  <si>
    <t>/home/cau/workspace/CHOI/cau_cats/log/Sewer-TAPNEW/run_20251119_012750</t>
  </si>
  <si>
    <t>val loss가 감소하긴 하는데 너무 큼. 코싸인 어닝하더라도 시작 lr 이 0.0001은 너무 작다.</t>
    <phoneticPr fontId="2" type="noConversion"/>
  </si>
  <si>
    <t>/home/cau/workspace/CHOI/cau_cats/log/Sewer-TAPNEW/run_20251119_014849</t>
  </si>
  <si>
    <t>/home/cau/workspace/CHOI/cau_cats/log/Sewer-TAPNEW/run_20251119_021502</t>
  </si>
  <si>
    <t>Ours (weight_decay 0.0001, ps112, drop0.1, res_attn, stride112, mobilev4_feat1, fpd32, embdim32)</t>
    <phoneticPr fontId="2" type="noConversion"/>
  </si>
  <si>
    <t>Ours (weight_decay 0.0001, ps112, drop0.1, res_attn, stride112, mobilev3_feat3)</t>
    <phoneticPr fontId="2" type="noConversion"/>
  </si>
  <si>
    <t>/home/cau/workspace/CHOI/cau_cats/log/Sewer-TAPNEW/run_20251119_021900</t>
  </si>
  <si>
    <t>Ours (weight_decay 0.001, ps112, drop0.1, res_attn, stride112, eff_feat3, featured_patch_dim 40, emb_dim24)</t>
    <phoneticPr fontId="2" type="noConversion"/>
  </si>
  <si>
    <t>/home/cau/workspace/CHOI/cau_cats/log/Sewer-TAPNEW/run_20251119_024742</t>
  </si>
  <si>
    <t>Ours (weight_decay 0.001, ps112, drop0.5, res_attn, stride112, eff_feat3, featured_patch_dim 40, emb_dim24,)</t>
    <phoneticPr fontId="2" type="noConversion"/>
  </si>
  <si>
    <t>/home/cau/workspace/CHOI/cau_cats/log/Sewer-TAPNEW/run_20251119_025018</t>
  </si>
  <si>
    <t>Ours (weight_decay 0.001, ps112, drop0.1, res_attn, stride112, eff_feat3, featured_patch_dim 40, emb_dim40, head4)</t>
    <phoneticPr fontId="2" type="noConversion"/>
  </si>
  <si>
    <t>Ours (weight_decay 0.001, ps112, drop0.1, res_attn, stride112, eff_feat3, featured_patch_dim 40, emb_dim40, head4, ffratio 1)</t>
    <phoneticPr fontId="2" type="noConversion"/>
  </si>
  <si>
    <t>Ours 초기값: adamaWweight_decay 0.01, drop 0.01, feat2, ps56, res_attn false, layers2, patch1, ff_ratio2, lr0.001, PEtrue, eta_min: 0.000001, efficientnet_b0 feat2, featured_patch_dim 24, emb_dim 24, decoderlayers2, Tmax90, ffratio 2</t>
    <phoneticPr fontId="2" type="noConversion"/>
  </si>
  <si>
    <t>/home/cau/workspace/CHOI/cau_cats/log/Sewer-TAPNEW/run_20251119_032430</t>
  </si>
  <si>
    <t>/home/cau/workspace/CHOI/cau_cats/log/Sewer-TAPNEW/run_20251119_032555</t>
  </si>
  <si>
    <t>Ours (weight_decay 0.0001, ps112, drop0.1, res_attn, stride112, ffratio1)</t>
    <phoneticPr fontId="2" type="noConversion"/>
  </si>
  <si>
    <t>/home/cau/workspace/CHOI/cau_cats/log/Sewer-TAPNEW/run_20251119_035802</t>
  </si>
  <si>
    <t>/home/cau/workspace/CHOI/cau_cats/log/Sewer-TAPNEW/run_20251119_040013</t>
  </si>
  <si>
    <t>Ours (weight_decay 0.0001, ps112, drop0.5, res_attn, stride112, ffratio1)</t>
    <phoneticPr fontId="2" type="noConversion"/>
  </si>
  <si>
    <t>Ours (weight_decay 0.0001, ps112, drop0.0, res_attn)</t>
    <phoneticPr fontId="2" type="noConversion"/>
  </si>
  <si>
    <t>FocalLoss (0.25, 2)</t>
    <phoneticPr fontId="2" type="noConversion"/>
  </si>
  <si>
    <t>log/Sewer-TAPNEW/run_20251119_043451</t>
  </si>
  <si>
    <t>log/Sewer-TAPNEW/run_20251119_043454</t>
  </si>
  <si>
    <t>log/Sewer-TAPNEW/run_20251119_043456</t>
  </si>
  <si>
    <t>log/Sewer-TAPNEW/run_20251119_051840</t>
  </si>
  <si>
    <t>log/Sewer-TAPNEW/run_20251119_051829</t>
  </si>
  <si>
    <t>log/Sewer-TAPNEW/run_20251119_051835</t>
    <phoneticPr fontId="2" type="noConversion"/>
  </si>
  <si>
    <t>/home/cau/workspace/CHOI/cau_cats/log/Sewer-TAPNEW/run_20251119_054847</t>
  </si>
  <si>
    <t>/home/cau/workspace/CHOI/cau_cats/log/Sewer-TAPNEW/run_20251119_054850</t>
  </si>
  <si>
    <t>/home/cau/workspace/CHOI/cau_cats/log/Sewer-TAPNEW/run_20251119_054901</t>
  </si>
  <si>
    <t>Ours (weight_decay 0.001, ps112, drop0.1, res_attn)</t>
    <phoneticPr fontId="2" type="noConversion"/>
  </si>
  <si>
    <t>/home/cau/workspace/CHOI/cau_cats/log/Sewer-TAPNEW/run_20251119_062019</t>
  </si>
  <si>
    <t>/home/cau/workspace/CHOI/cau_cats/log/Sewer-TAPNEW/run_20251119_062025</t>
  </si>
  <si>
    <t>/home/cau/workspace/CHOI/cau_cats/log/Sewer-TAPNEW/run_20251119_062034</t>
  </si>
  <si>
    <t>Ours (weight_decay 0.0001, ps112, drop0.0, feat3)</t>
    <phoneticPr fontId="2" type="noConversion"/>
  </si>
  <si>
    <t>/home/cau/workspace/CHOI/cau_cats/log/Sewer-TAPNEW/run_20251119_070944</t>
  </si>
  <si>
    <t>/home/cau/workspace/CHOI/cau_cats/log/Sewer-TAPNEW/run_20251119_070948</t>
  </si>
  <si>
    <t>/home/cau/workspace/CHOI/cau_cats/log/Sewer-TAPNEW/run_20251119_071053</t>
  </si>
  <si>
    <t>val loss가 20에포크까진 급격히 감소하고, 그 이후로 꾸준히 증가</t>
    <phoneticPr fontId="2" type="noConversion"/>
  </si>
  <si>
    <t>Ours (weight_decay 0.0001, ps112, drop0.1, res_attn, lr 0.003, eta_min 1e-5, )</t>
    <phoneticPr fontId="2" type="noConversion"/>
  </si>
  <si>
    <t>/home/cau/workspace/CHOI/cau_cats/log/Sewer-TAPNEW/run_20251119_080522</t>
  </si>
  <si>
    <t>Ours (weight_decay 0.0001, ps112, drop0.1, res_attn, lr 0.003, eta_min 1e-4, )</t>
    <phoneticPr fontId="2" type="noConversion"/>
  </si>
  <si>
    <t>Ours (weight_decay 0.0001, ps112, drop0.1, res_attn, lr 0.001, eta_min 1e-4, )</t>
    <phoneticPr fontId="2" type="noConversion"/>
  </si>
  <si>
    <t>/home/cau/workspace/CHOI/cau_cats/log/Sewer-TAPNEW/run_20251119_080654/log_20251119_080654.log</t>
  </si>
  <si>
    <t>/home/cau/workspace/CHOI/cau_cats/log/Sewer-TAPNEW/run_20251119_080732/log_20251119_080732.log</t>
  </si>
  <si>
    <t>Ours (weight_decay 0.0001, ps112, drop0.1, res_attn, eta_min 1e-4, 시작 시 1e-5 부터 5에퐄 웜업하고 lr 0.001에서 시작</t>
    <phoneticPr fontId="2" type="noConversion"/>
  </si>
  <si>
    <t>/home/cau/workspace/CHOI/cau_cats/log/Sewer-TAPNEW/run_20251119_085123</t>
  </si>
  <si>
    <t>/home/cau/workspace/CHOI/cau_cats/log/Sewer-TAPNEW/run_20251119_085125</t>
  </si>
  <si>
    <t>/home/cau/workspace/CHOI/cau_cats/log/Sewer-TAPNEW/run_20251119_085129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</si>
</sst>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.0000;[Red]#,##0.0000"/>
    <numFmt numFmtId="178" formatCode="0.0000_ "/>
    <numFmt numFmtId="179" formatCode="0.000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3"/>
      <color theme="0" tint="-0.249977111117893"/>
      <name val="맑은 고딕"/>
      <family val="3"/>
      <charset val="129"/>
      <scheme val="minor"/>
    </font>
    <font>
      <b/>
      <sz val="13"/>
      <color theme="0" tint="-0.249977111117893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ck">
        <color theme="1"/>
      </bottom>
      <diagonal/>
    </border>
    <border>
      <left/>
      <right/>
      <top style="thick">
        <color theme="1"/>
      </top>
      <bottom/>
      <diagonal/>
    </border>
  </borders>
  <cellStyleXfs count="3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49" fontId="6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3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2" borderId="0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8" fillId="0" borderId="0" xfId="2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5" borderId="0" xfId="0" applyFont="1" applyFill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8" fontId="5" fillId="0" borderId="2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5" fillId="5" borderId="4" xfId="0" applyFont="1" applyFill="1" applyBorder="1">
      <alignment vertical="center"/>
    </xf>
    <xf numFmtId="178" fontId="5" fillId="5" borderId="4" xfId="0" applyNumberFormat="1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0" fillId="0" borderId="3" xfId="0" applyBorder="1">
      <alignment vertical="center"/>
    </xf>
    <xf numFmtId="0" fontId="0" fillId="5" borderId="3" xfId="0" applyFill="1" applyBorder="1">
      <alignment vertical="center"/>
    </xf>
    <xf numFmtId="0" fontId="6" fillId="0" borderId="3" xfId="0" applyFont="1" applyBorder="1">
      <alignment vertical="center"/>
    </xf>
    <xf numFmtId="0" fontId="5" fillId="3" borderId="5" xfId="0" applyFont="1" applyFill="1" applyBorder="1">
      <alignment vertical="center"/>
    </xf>
    <xf numFmtId="178" fontId="5" fillId="3" borderId="5" xfId="0" applyNumberFormat="1" applyFont="1" applyFill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2" fontId="5" fillId="0" borderId="6" xfId="0" applyNumberFormat="1" applyFont="1" applyBorder="1">
      <alignment vertical="center"/>
    </xf>
    <xf numFmtId="179" fontId="5" fillId="0" borderId="6" xfId="0" applyNumberFormat="1" applyFont="1" applyBorder="1">
      <alignment vertical="center"/>
    </xf>
    <xf numFmtId="0" fontId="5" fillId="6" borderId="0" xfId="0" applyFont="1" applyFill="1">
      <alignment vertical="center"/>
    </xf>
    <xf numFmtId="0" fontId="5" fillId="6" borderId="6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6" fillId="3" borderId="0" xfId="0" applyFont="1" applyFill="1">
      <alignment vertical="center"/>
    </xf>
    <xf numFmtId="0" fontId="0" fillId="5" borderId="0" xfId="0" applyFill="1">
      <alignment vertical="center"/>
    </xf>
    <xf numFmtId="0" fontId="6" fillId="0" borderId="6" xfId="0" applyFont="1" applyBorder="1">
      <alignment vertical="center"/>
    </xf>
    <xf numFmtId="179" fontId="5" fillId="0" borderId="0" xfId="0" applyNumberFormat="1" applyFont="1">
      <alignment vertical="center"/>
    </xf>
    <xf numFmtId="179" fontId="5" fillId="5" borderId="6" xfId="0" applyNumberFormat="1" applyFont="1" applyFill="1" applyBorder="1">
      <alignment vertical="center"/>
    </xf>
    <xf numFmtId="2" fontId="5" fillId="0" borderId="0" xfId="0" applyNumberFormat="1" applyFont="1">
      <alignment vertical="center"/>
    </xf>
    <xf numFmtId="2" fontId="5" fillId="5" borderId="6" xfId="0" applyNumberFormat="1" applyFont="1" applyFill="1" applyBorder="1">
      <alignment vertical="center"/>
    </xf>
    <xf numFmtId="179" fontId="6" fillId="3" borderId="0" xfId="0" applyNumberFormat="1" applyFont="1" applyFill="1">
      <alignment vertical="center"/>
    </xf>
    <xf numFmtId="179" fontId="0" fillId="0" borderId="0" xfId="0" applyNumberFormat="1">
      <alignment vertical="center"/>
    </xf>
    <xf numFmtId="2" fontId="6" fillId="3" borderId="0" xfId="0" applyNumberFormat="1" applyFont="1" applyFill="1">
      <alignment vertical="center"/>
    </xf>
    <xf numFmtId="0" fontId="6" fillId="4" borderId="0" xfId="0" applyFont="1" applyFill="1">
      <alignment vertical="center"/>
    </xf>
    <xf numFmtId="0" fontId="6" fillId="4" borderId="6" xfId="0" applyFont="1" applyFill="1" applyBorder="1">
      <alignment vertical="center"/>
    </xf>
    <xf numFmtId="0" fontId="5" fillId="4" borderId="0" xfId="0" applyFont="1" applyFill="1">
      <alignment vertical="center"/>
    </xf>
    <xf numFmtId="0" fontId="6" fillId="5" borderId="0" xfId="0" applyFont="1" applyFill="1">
      <alignment vertical="center"/>
    </xf>
  </cellXfs>
  <cellStyles count="3">
    <cellStyle name="메모" xfId="1" builtinId="10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23D5-CCB0-4793-B626-CA6A042C8AFE}">
  <dimension ref="A1:K22"/>
  <sheetViews>
    <sheetView zoomScale="93" workbookViewId="0">
      <selection activeCell="J5" sqref="J5"/>
    </sheetView>
  </sheetViews>
  <sheetFormatPr defaultColWidth="8.69921875" defaultRowHeight="20.399999999999999" x14ac:dyDescent="0.4"/>
  <cols>
    <col min="1" max="8" width="20.19921875" style="11" customWidth="1"/>
    <col min="9" max="9" width="20.296875" style="11" customWidth="1"/>
    <col min="10" max="10" width="16.3984375" style="11" customWidth="1"/>
    <col min="11" max="11" width="61.796875" style="11" customWidth="1"/>
    <col min="12" max="16384" width="8.69921875" style="11"/>
  </cols>
  <sheetData>
    <row r="1" spans="1:11" ht="102" x14ac:dyDescent="0.4">
      <c r="A1" s="10" t="s">
        <v>0</v>
      </c>
      <c r="B1" s="10" t="s">
        <v>34</v>
      </c>
      <c r="C1" s="10" t="s">
        <v>52</v>
      </c>
      <c r="D1" s="10" t="s">
        <v>19</v>
      </c>
      <c r="E1" s="10" t="s">
        <v>1</v>
      </c>
      <c r="F1" s="10" t="s">
        <v>20</v>
      </c>
      <c r="G1" s="10" t="s">
        <v>21</v>
      </c>
      <c r="H1" s="10" t="s">
        <v>46</v>
      </c>
      <c r="I1" s="10" t="s">
        <v>45</v>
      </c>
      <c r="J1" s="10" t="s">
        <v>22</v>
      </c>
    </row>
    <row r="2" spans="1:11" x14ac:dyDescent="0.4">
      <c r="A2" s="10" t="s">
        <v>7</v>
      </c>
      <c r="B2" s="10"/>
      <c r="C2" s="10" t="s">
        <v>39</v>
      </c>
      <c r="D2" s="10" t="s">
        <v>8</v>
      </c>
      <c r="E2" s="10"/>
      <c r="F2" s="10" t="s">
        <v>9</v>
      </c>
      <c r="G2" s="10" t="s">
        <v>10</v>
      </c>
      <c r="H2" s="10" t="s">
        <v>11</v>
      </c>
      <c r="I2" s="10" t="s">
        <v>11</v>
      </c>
      <c r="J2" s="10" t="s">
        <v>8</v>
      </c>
    </row>
    <row r="3" spans="1:11" x14ac:dyDescent="0.4">
      <c r="A3" s="11" t="s">
        <v>2</v>
      </c>
      <c r="B3" s="12" t="s">
        <v>35</v>
      </c>
      <c r="C3" s="11" t="s">
        <v>23</v>
      </c>
      <c r="D3" s="11">
        <v>34.9</v>
      </c>
      <c r="E3" s="12">
        <v>9159681</v>
      </c>
      <c r="F3" s="11">
        <v>1.43</v>
      </c>
      <c r="G3" s="11">
        <v>2.87</v>
      </c>
      <c r="H3" s="13">
        <v>0.2</v>
      </c>
      <c r="I3" s="11">
        <v>10.06</v>
      </c>
      <c r="J3" s="23">
        <v>65.77</v>
      </c>
      <c r="K3" s="11" t="s">
        <v>51</v>
      </c>
    </row>
    <row r="4" spans="1:11" x14ac:dyDescent="0.4">
      <c r="A4" s="11" t="s">
        <v>3</v>
      </c>
      <c r="B4" s="12" t="s">
        <v>35</v>
      </c>
      <c r="C4" s="11" t="s">
        <v>23</v>
      </c>
      <c r="D4" s="11">
        <v>44.8</v>
      </c>
      <c r="E4" s="12">
        <v>11177538</v>
      </c>
      <c r="F4" s="11">
        <v>1.82</v>
      </c>
      <c r="G4" s="11">
        <v>3.65</v>
      </c>
      <c r="H4" s="11">
        <v>0.65</v>
      </c>
      <c r="I4" s="11">
        <v>10.51</v>
      </c>
      <c r="J4" s="23">
        <v>203.42</v>
      </c>
      <c r="K4" s="11" t="s">
        <v>50</v>
      </c>
    </row>
    <row r="5" spans="1:11" x14ac:dyDescent="0.4">
      <c r="A5" s="11" t="s">
        <v>4</v>
      </c>
      <c r="B5" s="12" t="s">
        <v>35</v>
      </c>
      <c r="C5" s="11" t="s">
        <v>23</v>
      </c>
      <c r="D5" s="11">
        <v>16.3</v>
      </c>
      <c r="E5" s="12">
        <v>4010110</v>
      </c>
      <c r="F5" s="11">
        <v>0.41</v>
      </c>
      <c r="G5" s="11">
        <v>0.83</v>
      </c>
      <c r="H5" s="11">
        <v>1.57</v>
      </c>
      <c r="I5" s="11">
        <v>17.559999999999999</v>
      </c>
      <c r="J5" s="23">
        <v>89.51</v>
      </c>
      <c r="K5" s="11" t="s">
        <v>48</v>
      </c>
    </row>
    <row r="6" spans="1:11" x14ac:dyDescent="0.4">
      <c r="A6" s="11" t="s">
        <v>6</v>
      </c>
      <c r="B6" s="12" t="s">
        <v>35</v>
      </c>
      <c r="C6" s="11" t="s">
        <v>23</v>
      </c>
      <c r="D6" s="11">
        <v>10.199999999999999</v>
      </c>
      <c r="E6" s="12">
        <v>2495586</v>
      </c>
      <c r="F6" s="11">
        <v>0.18</v>
      </c>
      <c r="G6" s="11">
        <v>0.37</v>
      </c>
      <c r="H6" s="11">
        <v>1.0900000000000001</v>
      </c>
      <c r="I6" s="11">
        <v>8.9600000000000009</v>
      </c>
      <c r="J6" s="23">
        <v>60.28</v>
      </c>
      <c r="K6" s="11" t="s">
        <v>49</v>
      </c>
    </row>
    <row r="7" spans="1:11" x14ac:dyDescent="0.4">
      <c r="A7" s="11" t="s">
        <v>37</v>
      </c>
      <c r="B7" s="12" t="s">
        <v>36</v>
      </c>
      <c r="C7" s="11" t="s">
        <v>40</v>
      </c>
      <c r="D7" s="11">
        <v>0.16900000000000001</v>
      </c>
      <c r="E7" s="12">
        <v>29691</v>
      </c>
      <c r="F7" s="11">
        <v>0.42</v>
      </c>
      <c r="G7" s="11">
        <v>0.84</v>
      </c>
      <c r="H7" s="11">
        <v>0.7</v>
      </c>
      <c r="I7" s="11">
        <v>21.07</v>
      </c>
      <c r="J7" s="23">
        <v>61.07</v>
      </c>
      <c r="K7" s="11" t="s">
        <v>50</v>
      </c>
    </row>
    <row r="8" spans="1:11" x14ac:dyDescent="0.4">
      <c r="A8" s="13" t="s">
        <v>38</v>
      </c>
      <c r="B8" s="12" t="s">
        <v>35</v>
      </c>
      <c r="C8" s="11" t="s">
        <v>41</v>
      </c>
      <c r="D8" s="13">
        <v>0.16500000000000001</v>
      </c>
      <c r="E8" s="14">
        <v>29691</v>
      </c>
      <c r="F8" s="13">
        <v>0.09</v>
      </c>
      <c r="G8" s="13">
        <v>0.18</v>
      </c>
      <c r="H8" s="11">
        <v>0.71</v>
      </c>
      <c r="I8" s="13">
        <v>3.61</v>
      </c>
      <c r="J8" s="24">
        <v>19.38</v>
      </c>
      <c r="K8" s="11" t="s">
        <v>47</v>
      </c>
    </row>
    <row r="14" spans="1:11" x14ac:dyDescent="0.4">
      <c r="A14" s="10" t="s">
        <v>26</v>
      </c>
      <c r="B14" s="10" t="s">
        <v>30</v>
      </c>
      <c r="C14" s="10" t="s">
        <v>31</v>
      </c>
      <c r="D14" s="10" t="s">
        <v>32</v>
      </c>
      <c r="E14" s="10" t="s">
        <v>109</v>
      </c>
      <c r="F14" s="10" t="s">
        <v>112</v>
      </c>
    </row>
    <row r="15" spans="1:11" x14ac:dyDescent="0.4">
      <c r="A15" s="11" t="s">
        <v>27</v>
      </c>
      <c r="B15" s="15">
        <v>1040129</v>
      </c>
      <c r="C15" s="15">
        <v>130046</v>
      </c>
      <c r="D15" s="15">
        <v>130046</v>
      </c>
      <c r="E15" s="11" t="s">
        <v>110</v>
      </c>
      <c r="F15" s="22" t="s">
        <v>113</v>
      </c>
    </row>
    <row r="16" spans="1:11" x14ac:dyDescent="0.4">
      <c r="A16" s="11" t="s">
        <v>28</v>
      </c>
      <c r="B16" s="15">
        <v>367</v>
      </c>
      <c r="C16" s="15">
        <v>92</v>
      </c>
      <c r="D16" s="15">
        <v>92</v>
      </c>
      <c r="E16" s="11" t="s">
        <v>111</v>
      </c>
    </row>
    <row r="17" spans="1:5" x14ac:dyDescent="0.4">
      <c r="A17" s="11" t="s">
        <v>29</v>
      </c>
      <c r="B17" s="15">
        <v>1353</v>
      </c>
      <c r="C17" s="15">
        <v>339</v>
      </c>
      <c r="D17" s="15">
        <v>339</v>
      </c>
      <c r="E17" s="11" t="s">
        <v>111</v>
      </c>
    </row>
    <row r="18" spans="1:5" x14ac:dyDescent="0.4">
      <c r="C18" s="12"/>
    </row>
    <row r="19" spans="1:5" x14ac:dyDescent="0.4">
      <c r="C19" s="12"/>
    </row>
    <row r="20" spans="1:5" x14ac:dyDescent="0.4">
      <c r="C20" s="12"/>
    </row>
    <row r="21" spans="1:5" x14ac:dyDescent="0.4">
      <c r="C21" s="12"/>
    </row>
    <row r="22" spans="1:5" x14ac:dyDescent="0.4">
      <c r="C22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4E89-56A3-4502-BA89-E13C3B2DF54B}">
  <dimension ref="A1:S79"/>
  <sheetViews>
    <sheetView topLeftCell="D1" zoomScale="84" workbookViewId="0">
      <pane ySplit="3" topLeftCell="A69" activePane="bottomLeft" state="frozen"/>
      <selection pane="bottomLeft" activeCell="J62" sqref="J62:N64"/>
    </sheetView>
  </sheetViews>
  <sheetFormatPr defaultRowHeight="17.399999999999999" x14ac:dyDescent="0.4"/>
  <cols>
    <col min="1" max="1" width="57.3984375" style="21" customWidth="1"/>
    <col min="2" max="2" width="13.3984375" style="21" customWidth="1"/>
    <col min="3" max="3" width="18.19921875" style="21" customWidth="1"/>
    <col min="4" max="5" width="18.59765625" style="21" customWidth="1"/>
    <col min="6" max="6" width="8" style="21" customWidth="1"/>
    <col min="7" max="7" width="13" style="21" customWidth="1"/>
    <col min="8" max="11" width="18.59765625" style="21" customWidth="1"/>
    <col min="12" max="17" width="18.59765625" style="34" customWidth="1"/>
    <col min="18" max="16384" width="8.796875" style="21"/>
  </cols>
  <sheetData>
    <row r="1" spans="1:18" x14ac:dyDescent="0.4">
      <c r="A1" s="21" t="s">
        <v>324</v>
      </c>
    </row>
    <row r="2" spans="1:18" x14ac:dyDescent="0.4">
      <c r="A2" s="21" t="s">
        <v>362</v>
      </c>
    </row>
    <row r="3" spans="1:18" s="45" customFormat="1" ht="18" thickBot="1" x14ac:dyDescent="0.45">
      <c r="A3" s="43" t="s">
        <v>63</v>
      </c>
      <c r="B3" s="43" t="s">
        <v>24</v>
      </c>
      <c r="C3" s="43" t="s">
        <v>62</v>
      </c>
      <c r="D3" s="43" t="s">
        <v>61</v>
      </c>
      <c r="E3" s="43" t="s">
        <v>99</v>
      </c>
      <c r="F3" s="43" t="s">
        <v>12</v>
      </c>
      <c r="G3" s="43" t="s">
        <v>54</v>
      </c>
      <c r="H3" s="43" t="s">
        <v>55</v>
      </c>
      <c r="I3" s="43" t="s">
        <v>58</v>
      </c>
      <c r="J3" s="43" t="s">
        <v>364</v>
      </c>
      <c r="K3" s="43" t="s">
        <v>254</v>
      </c>
      <c r="L3" s="44" t="s">
        <v>255</v>
      </c>
      <c r="M3" s="44" t="s">
        <v>256</v>
      </c>
      <c r="N3" s="44" t="s">
        <v>257</v>
      </c>
      <c r="O3" s="44" t="s">
        <v>258</v>
      </c>
      <c r="P3" s="44" t="s">
        <v>259</v>
      </c>
      <c r="Q3" s="44" t="s">
        <v>260</v>
      </c>
      <c r="R3" s="43" t="s">
        <v>262</v>
      </c>
    </row>
    <row r="4" spans="1:18" s="37" customFormat="1" ht="18" thickTop="1" x14ac:dyDescent="0.4">
      <c r="A4" s="37" t="s">
        <v>65</v>
      </c>
      <c r="B4" s="37" t="s">
        <v>502</v>
      </c>
      <c r="C4" s="37" t="s">
        <v>53</v>
      </c>
      <c r="D4" s="37">
        <v>256</v>
      </c>
      <c r="E4" s="37" t="s">
        <v>103</v>
      </c>
      <c r="F4" s="37">
        <v>90</v>
      </c>
      <c r="G4" s="37" t="b">
        <v>0</v>
      </c>
      <c r="H4" s="37" t="s">
        <v>56</v>
      </c>
      <c r="I4" s="37" t="s">
        <v>59</v>
      </c>
      <c r="J4" s="37" t="s">
        <v>15</v>
      </c>
      <c r="K4" s="37">
        <v>86.14</v>
      </c>
      <c r="L4" s="38">
        <v>0.86519999999999997</v>
      </c>
      <c r="M4" s="38">
        <v>0.87009999999999998</v>
      </c>
      <c r="N4" s="38">
        <v>0.86760000000000004</v>
      </c>
      <c r="O4" s="38">
        <v>0.85709999999999997</v>
      </c>
      <c r="P4" s="38">
        <v>0.85189999999999999</v>
      </c>
      <c r="Q4" s="38">
        <v>0.85450000000000004</v>
      </c>
      <c r="R4" s="37" t="s">
        <v>333</v>
      </c>
    </row>
    <row r="5" spans="1:18" x14ac:dyDescent="0.4">
      <c r="K5" s="21">
        <v>78.17</v>
      </c>
      <c r="L5" s="34">
        <v>0.72689999999999999</v>
      </c>
      <c r="M5" s="34">
        <v>0.93220000000000003</v>
      </c>
      <c r="N5" s="34">
        <v>0.81679999999999997</v>
      </c>
      <c r="O5" s="34">
        <v>0.89290000000000003</v>
      </c>
      <c r="P5" s="34">
        <v>0.61729999999999996</v>
      </c>
      <c r="Q5" s="34">
        <v>0.72989999999999999</v>
      </c>
      <c r="R5" s="21" t="s">
        <v>334</v>
      </c>
    </row>
    <row r="6" spans="1:18" x14ac:dyDescent="0.4">
      <c r="K6" s="21">
        <v>84.96</v>
      </c>
      <c r="L6" s="34">
        <v>0.8841</v>
      </c>
      <c r="M6" s="34">
        <v>0.81920000000000004</v>
      </c>
      <c r="N6" s="34">
        <v>0.85040000000000004</v>
      </c>
      <c r="O6" s="34">
        <v>0.81710000000000005</v>
      </c>
      <c r="P6" s="34">
        <v>0.88270000000000004</v>
      </c>
      <c r="Q6" s="34">
        <v>0.84870000000000001</v>
      </c>
      <c r="R6" s="21" t="s">
        <v>335</v>
      </c>
    </row>
    <row r="7" spans="1:18" x14ac:dyDescent="0.4">
      <c r="K7" s="21">
        <v>79.650000000000006</v>
      </c>
      <c r="L7" s="34">
        <v>0.7389</v>
      </c>
      <c r="M7" s="34">
        <v>0.94350000000000001</v>
      </c>
      <c r="N7" s="34">
        <v>0.82879999999999998</v>
      </c>
      <c r="O7" s="34">
        <v>0.91149999999999998</v>
      </c>
      <c r="P7" s="34">
        <v>0.63580000000000003</v>
      </c>
      <c r="Q7" s="34">
        <v>0.74909999999999999</v>
      </c>
      <c r="R7" s="21" t="s">
        <v>336</v>
      </c>
    </row>
    <row r="8" spans="1:18" ht="18" thickBot="1" x14ac:dyDescent="0.45">
      <c r="K8" s="21">
        <v>84.96</v>
      </c>
      <c r="L8" s="34">
        <v>0.85</v>
      </c>
      <c r="M8" s="34">
        <v>0.86439999999999995</v>
      </c>
      <c r="N8" s="34">
        <v>0.85709999999999997</v>
      </c>
      <c r="O8" s="34">
        <v>0.84909999999999997</v>
      </c>
      <c r="P8" s="34">
        <v>0.83330000000000004</v>
      </c>
      <c r="Q8" s="34">
        <v>0.84109999999999996</v>
      </c>
      <c r="R8" s="21" t="s">
        <v>337</v>
      </c>
    </row>
    <row r="9" spans="1:18" s="31" customFormat="1" ht="18" thickTop="1" x14ac:dyDescent="0.4">
      <c r="A9" s="31" t="s">
        <v>3</v>
      </c>
      <c r="B9" s="31" t="s">
        <v>502</v>
      </c>
      <c r="C9" s="31" t="s">
        <v>53</v>
      </c>
      <c r="D9" s="31">
        <v>256</v>
      </c>
      <c r="E9" s="31" t="s">
        <v>102</v>
      </c>
      <c r="F9" s="31">
        <v>90</v>
      </c>
      <c r="G9" s="31" t="b">
        <v>0</v>
      </c>
      <c r="H9" s="31" t="s">
        <v>56</v>
      </c>
      <c r="I9" s="31" t="s">
        <v>59</v>
      </c>
      <c r="J9" s="31" t="s">
        <v>257</v>
      </c>
      <c r="K9" s="31">
        <v>86.14</v>
      </c>
      <c r="L9" s="35">
        <v>0.86519999999999997</v>
      </c>
      <c r="M9" s="35">
        <v>0.87009999999999998</v>
      </c>
      <c r="N9" s="35">
        <v>0.86760000000000004</v>
      </c>
      <c r="O9" s="35">
        <v>0.85709999999999997</v>
      </c>
      <c r="P9" s="35">
        <v>0.85189999999999999</v>
      </c>
      <c r="Q9" s="35">
        <v>0.85450000000000004</v>
      </c>
      <c r="R9" s="31" t="s">
        <v>264</v>
      </c>
    </row>
    <row r="10" spans="1:18" x14ac:dyDescent="0.4">
      <c r="K10" s="21">
        <v>86.43</v>
      </c>
      <c r="L10" s="34">
        <v>0.87009999999999998</v>
      </c>
      <c r="M10" s="34">
        <v>0.87009999999999998</v>
      </c>
      <c r="N10" s="34">
        <v>0.87009999999999998</v>
      </c>
      <c r="O10" s="34">
        <v>0.85799999999999998</v>
      </c>
      <c r="P10" s="34">
        <v>0.85799999999999998</v>
      </c>
      <c r="Q10" s="34">
        <v>0.85799999999999998</v>
      </c>
      <c r="R10" s="21" t="s">
        <v>267</v>
      </c>
    </row>
    <row r="11" spans="1:18" x14ac:dyDescent="0.4">
      <c r="K11" s="21">
        <v>87.02</v>
      </c>
      <c r="L11" s="34">
        <v>0.87570000000000003</v>
      </c>
      <c r="M11" s="34">
        <v>0.87570000000000003</v>
      </c>
      <c r="N11" s="34">
        <v>0.87570000000000003</v>
      </c>
      <c r="O11" s="34">
        <v>0.86419999999999997</v>
      </c>
      <c r="P11" s="34">
        <v>0.86419999999999997</v>
      </c>
      <c r="Q11" s="34">
        <v>0.86419999999999997</v>
      </c>
      <c r="R11" s="21" t="s">
        <v>316</v>
      </c>
    </row>
    <row r="12" spans="1:18" x14ac:dyDescent="0.4">
      <c r="K12" s="21">
        <v>87.02</v>
      </c>
      <c r="L12" s="34">
        <v>0.86739999999999995</v>
      </c>
      <c r="M12" s="34">
        <v>0.88700000000000001</v>
      </c>
      <c r="N12" s="34">
        <v>0.87709999999999999</v>
      </c>
      <c r="O12" s="34">
        <v>0.87339999999999995</v>
      </c>
      <c r="P12" s="34">
        <v>0.85189999999999999</v>
      </c>
      <c r="Q12" s="34">
        <v>0.86250000000000004</v>
      </c>
      <c r="R12" s="21" t="s">
        <v>317</v>
      </c>
    </row>
    <row r="13" spans="1:18" ht="18" thickBot="1" x14ac:dyDescent="0.45">
      <c r="K13" s="21">
        <v>85.84</v>
      </c>
      <c r="L13" s="34">
        <v>0.88170000000000004</v>
      </c>
      <c r="M13" s="34">
        <v>0.84179999999999999</v>
      </c>
      <c r="N13" s="34">
        <v>0.86129999999999995</v>
      </c>
      <c r="O13" s="34">
        <v>0.83530000000000004</v>
      </c>
      <c r="P13" s="34">
        <v>0.87649999999999995</v>
      </c>
      <c r="Q13" s="34">
        <v>0.85540000000000005</v>
      </c>
      <c r="R13" s="21" t="s">
        <v>318</v>
      </c>
    </row>
    <row r="14" spans="1:18" s="31" customFormat="1" ht="18" thickTop="1" x14ac:dyDescent="0.4">
      <c r="A14" s="31" t="s">
        <v>4</v>
      </c>
      <c r="B14" s="31" t="s">
        <v>502</v>
      </c>
      <c r="C14" s="31" t="s">
        <v>53</v>
      </c>
      <c r="D14" s="31">
        <v>256</v>
      </c>
      <c r="E14" s="31" t="s">
        <v>103</v>
      </c>
      <c r="F14" s="31">
        <v>90</v>
      </c>
      <c r="G14" s="31" t="b">
        <v>0</v>
      </c>
      <c r="H14" s="31" t="s">
        <v>56</v>
      </c>
      <c r="I14" s="31" t="s">
        <v>59</v>
      </c>
      <c r="J14" s="31" t="s">
        <v>257</v>
      </c>
      <c r="K14" s="31">
        <v>86.43</v>
      </c>
      <c r="L14" s="35">
        <v>0.87860000000000005</v>
      </c>
      <c r="M14" s="35">
        <v>0.85880000000000001</v>
      </c>
      <c r="N14" s="35">
        <v>0.86860000000000004</v>
      </c>
      <c r="O14" s="35">
        <v>0.84940000000000004</v>
      </c>
      <c r="P14" s="35">
        <v>0.87039999999999995</v>
      </c>
      <c r="Q14" s="35">
        <v>0.85980000000000001</v>
      </c>
      <c r="R14" s="31" t="s">
        <v>261</v>
      </c>
    </row>
    <row r="15" spans="1:18" x14ac:dyDescent="0.4">
      <c r="K15" s="21">
        <v>89.68</v>
      </c>
      <c r="L15" s="34">
        <v>0.90339999999999998</v>
      </c>
      <c r="M15" s="34">
        <v>0.89829999999999999</v>
      </c>
      <c r="N15" s="34">
        <v>0.90080000000000005</v>
      </c>
      <c r="O15" s="34">
        <v>0.88959999999999995</v>
      </c>
      <c r="P15" s="34">
        <v>0.89510000000000001</v>
      </c>
      <c r="Q15" s="34">
        <v>0.89229999999999998</v>
      </c>
      <c r="R15" s="21" t="s">
        <v>268</v>
      </c>
    </row>
    <row r="16" spans="1:18" x14ac:dyDescent="0.4">
      <c r="K16" s="21">
        <v>89.09</v>
      </c>
      <c r="L16" s="34">
        <v>0.90229999999999999</v>
      </c>
      <c r="M16" s="34">
        <v>0.88700000000000001</v>
      </c>
      <c r="N16" s="34">
        <v>0.89459999999999995</v>
      </c>
      <c r="O16" s="34">
        <v>0.87880000000000003</v>
      </c>
      <c r="P16" s="34">
        <v>0.89510000000000001</v>
      </c>
      <c r="Q16" s="34">
        <v>0.88690000000000002</v>
      </c>
      <c r="R16" s="21" t="s">
        <v>303</v>
      </c>
    </row>
    <row r="17" spans="1:18" x14ac:dyDescent="0.4">
      <c r="K17" s="21">
        <v>87.61</v>
      </c>
      <c r="L17" s="34">
        <v>0.89470000000000005</v>
      </c>
      <c r="M17" s="34">
        <v>0.86439999999999995</v>
      </c>
      <c r="N17" s="34">
        <v>0.87929999999999997</v>
      </c>
      <c r="O17" s="34">
        <v>0.85709999999999997</v>
      </c>
      <c r="P17" s="34">
        <v>0.88890000000000002</v>
      </c>
      <c r="Q17" s="34">
        <v>0.87270000000000003</v>
      </c>
      <c r="R17" s="21" t="s">
        <v>319</v>
      </c>
    </row>
    <row r="18" spans="1:18" ht="18" thickBot="1" x14ac:dyDescent="0.45">
      <c r="K18" s="21">
        <v>87.91</v>
      </c>
      <c r="L18" s="34">
        <v>0.92500000000000004</v>
      </c>
      <c r="M18" s="34">
        <v>0.83620000000000005</v>
      </c>
      <c r="N18" s="34">
        <v>0.87829999999999997</v>
      </c>
      <c r="O18" s="34">
        <v>0.83799999999999997</v>
      </c>
      <c r="P18" s="34">
        <v>0.92589999999999995</v>
      </c>
      <c r="Q18" s="34">
        <v>0.87980000000000003</v>
      </c>
      <c r="R18" s="21" t="s">
        <v>320</v>
      </c>
    </row>
    <row r="19" spans="1:18" s="31" customFormat="1" ht="18" thickTop="1" x14ac:dyDescent="0.4">
      <c r="A19" s="31" t="s">
        <v>6</v>
      </c>
      <c r="B19" s="31" t="s">
        <v>502</v>
      </c>
      <c r="C19" s="31" t="s">
        <v>53</v>
      </c>
      <c r="D19" s="31">
        <v>256</v>
      </c>
      <c r="E19" s="31" t="s">
        <v>103</v>
      </c>
      <c r="F19" s="31">
        <v>90</v>
      </c>
      <c r="G19" s="31" t="b">
        <v>0</v>
      </c>
      <c r="H19" s="31" t="s">
        <v>56</v>
      </c>
      <c r="I19" s="31" t="s">
        <v>59</v>
      </c>
      <c r="J19" s="31" t="s">
        <v>257</v>
      </c>
      <c r="K19" s="31">
        <v>85.55</v>
      </c>
      <c r="L19" s="35">
        <v>0.87649999999999995</v>
      </c>
      <c r="M19" s="35">
        <v>0.84179999999999999</v>
      </c>
      <c r="N19" s="35">
        <v>0.85880000000000001</v>
      </c>
      <c r="O19" s="35">
        <v>0.83430000000000004</v>
      </c>
      <c r="P19" s="35">
        <v>0.87039999999999995</v>
      </c>
      <c r="Q19" s="35">
        <v>0.85199999999999998</v>
      </c>
      <c r="R19" s="31" t="s">
        <v>263</v>
      </c>
    </row>
    <row r="20" spans="1:18" x14ac:dyDescent="0.4">
      <c r="K20" s="21">
        <v>86.43</v>
      </c>
      <c r="L20" s="34">
        <v>0.87009999999999998</v>
      </c>
      <c r="M20" s="34">
        <v>0.87009999999999998</v>
      </c>
      <c r="N20" s="34">
        <v>0.87009999999999998</v>
      </c>
      <c r="O20" s="34">
        <v>0.85799999999999998</v>
      </c>
      <c r="P20" s="34">
        <v>0.85799999999999998</v>
      </c>
      <c r="Q20" s="34">
        <v>0.85799999999999998</v>
      </c>
      <c r="R20" s="21" t="s">
        <v>271</v>
      </c>
    </row>
    <row r="21" spans="1:18" x14ac:dyDescent="0.4">
      <c r="K21" s="21">
        <v>86.73</v>
      </c>
      <c r="L21" s="34">
        <v>0.84740000000000004</v>
      </c>
      <c r="M21" s="34">
        <v>0.90959999999999996</v>
      </c>
      <c r="N21" s="34">
        <v>0.87739999999999996</v>
      </c>
      <c r="O21" s="34">
        <v>0.89259999999999995</v>
      </c>
      <c r="P21" s="34">
        <v>0.82099999999999995</v>
      </c>
      <c r="Q21" s="34">
        <v>0.85529999999999995</v>
      </c>
      <c r="R21" s="21" t="s">
        <v>321</v>
      </c>
    </row>
    <row r="22" spans="1:18" x14ac:dyDescent="0.4">
      <c r="K22" s="21">
        <v>82.01</v>
      </c>
      <c r="L22" s="34">
        <v>0.87660000000000005</v>
      </c>
      <c r="M22" s="34">
        <v>0.76270000000000004</v>
      </c>
      <c r="N22" s="34">
        <v>0.81569999999999998</v>
      </c>
      <c r="O22" s="34">
        <v>0.77300000000000002</v>
      </c>
      <c r="P22" s="34">
        <v>0.88270000000000004</v>
      </c>
      <c r="Q22" s="34">
        <v>0.82420000000000004</v>
      </c>
      <c r="R22" s="21" t="s">
        <v>322</v>
      </c>
    </row>
    <row r="23" spans="1:18" ht="18" thickBot="1" x14ac:dyDescent="0.45">
      <c r="K23" s="21">
        <v>84.66</v>
      </c>
      <c r="L23" s="34">
        <v>0.84919999999999995</v>
      </c>
      <c r="M23" s="34">
        <v>0.85880000000000001</v>
      </c>
      <c r="N23" s="34">
        <v>0.85389999999999999</v>
      </c>
      <c r="O23" s="34">
        <v>0.84379999999999999</v>
      </c>
      <c r="P23" s="34">
        <v>0.83330000000000004</v>
      </c>
      <c r="Q23" s="34">
        <v>0.83850000000000002</v>
      </c>
      <c r="R23" s="21" t="s">
        <v>323</v>
      </c>
    </row>
    <row r="24" spans="1:18" s="31" customFormat="1" ht="18" thickTop="1" x14ac:dyDescent="0.4">
      <c r="A24" s="31" t="s">
        <v>295</v>
      </c>
      <c r="B24" s="31" t="s">
        <v>502</v>
      </c>
      <c r="C24" s="31" t="s">
        <v>53</v>
      </c>
      <c r="D24" s="31">
        <v>256</v>
      </c>
      <c r="E24" s="31" t="s">
        <v>102</v>
      </c>
      <c r="F24" s="31">
        <v>90</v>
      </c>
      <c r="G24" s="31" t="b">
        <v>0</v>
      </c>
      <c r="H24" s="31" t="s">
        <v>56</v>
      </c>
      <c r="I24" s="31" t="s">
        <v>59</v>
      </c>
      <c r="J24" s="31" t="s">
        <v>257</v>
      </c>
      <c r="K24" s="31">
        <v>86.14</v>
      </c>
      <c r="L24" s="35">
        <v>0.89629999999999999</v>
      </c>
      <c r="M24" s="35">
        <v>0.83050000000000002</v>
      </c>
      <c r="N24" s="35">
        <v>0.86219999999999997</v>
      </c>
      <c r="O24" s="35">
        <v>0.8286</v>
      </c>
      <c r="P24" s="35">
        <v>0.89510000000000001</v>
      </c>
      <c r="Q24" s="35">
        <v>0.86050000000000004</v>
      </c>
      <c r="R24" s="31" t="s">
        <v>265</v>
      </c>
    </row>
    <row r="25" spans="1:18" x14ac:dyDescent="0.4">
      <c r="K25" s="21">
        <v>85.55</v>
      </c>
      <c r="L25" s="34">
        <v>0.8478</v>
      </c>
      <c r="M25" s="34">
        <v>0.88139999999999996</v>
      </c>
      <c r="N25" s="34">
        <v>0.86429999999999996</v>
      </c>
      <c r="O25" s="34">
        <v>0.86450000000000005</v>
      </c>
      <c r="P25" s="34">
        <v>0.82720000000000005</v>
      </c>
      <c r="Q25" s="34">
        <v>0.84540000000000004</v>
      </c>
      <c r="R25" s="21" t="s">
        <v>269</v>
      </c>
    </row>
    <row r="26" spans="1:18" x14ac:dyDescent="0.4">
      <c r="A26" s="21" t="s">
        <v>295</v>
      </c>
      <c r="B26" s="21" t="s">
        <v>502</v>
      </c>
      <c r="C26" s="21" t="s">
        <v>53</v>
      </c>
      <c r="D26" s="21">
        <v>256</v>
      </c>
      <c r="E26" s="21" t="s">
        <v>101</v>
      </c>
      <c r="F26" s="21">
        <v>90</v>
      </c>
      <c r="G26" s="21" t="b">
        <v>0</v>
      </c>
      <c r="H26" s="21" t="s">
        <v>57</v>
      </c>
      <c r="I26" s="21" t="s">
        <v>117</v>
      </c>
      <c r="J26" s="21" t="s">
        <v>257</v>
      </c>
      <c r="K26" s="21">
        <v>87.91</v>
      </c>
      <c r="L26" s="34">
        <v>0.89080000000000004</v>
      </c>
      <c r="M26" s="34">
        <v>0.87570000000000003</v>
      </c>
      <c r="N26" s="34">
        <v>0.88319999999999999</v>
      </c>
      <c r="O26" s="34">
        <v>0.86670000000000003</v>
      </c>
      <c r="P26" s="34">
        <v>0.88270000000000004</v>
      </c>
      <c r="Q26" s="34">
        <v>0.87460000000000004</v>
      </c>
      <c r="R26" s="21" t="s">
        <v>266</v>
      </c>
    </row>
    <row r="27" spans="1:18" x14ac:dyDescent="0.4">
      <c r="K27" s="21">
        <v>88.2</v>
      </c>
      <c r="L27" s="34">
        <v>0.89139999999999997</v>
      </c>
      <c r="M27" s="34">
        <v>0.88139999999999996</v>
      </c>
      <c r="N27" s="34">
        <v>0.88639999999999997</v>
      </c>
      <c r="O27" s="34">
        <v>0.872</v>
      </c>
      <c r="P27" s="34">
        <v>0.88270000000000004</v>
      </c>
      <c r="Q27" s="34">
        <v>0.87729999999999997</v>
      </c>
      <c r="R27" s="21" t="s">
        <v>270</v>
      </c>
    </row>
    <row r="28" spans="1:18" x14ac:dyDescent="0.4">
      <c r="K28" s="21">
        <v>87.61</v>
      </c>
      <c r="L28" s="34">
        <v>0.89019999999999999</v>
      </c>
      <c r="M28" s="34">
        <v>0.87009999999999998</v>
      </c>
      <c r="N28" s="34">
        <v>0.88</v>
      </c>
      <c r="O28" s="34">
        <v>0.86140000000000005</v>
      </c>
      <c r="P28" s="34">
        <v>0.88270000000000004</v>
      </c>
      <c r="Q28" s="34">
        <v>0.872</v>
      </c>
      <c r="R28" s="21" t="s">
        <v>272</v>
      </c>
    </row>
    <row r="29" spans="1:18" x14ac:dyDescent="0.4">
      <c r="K29" s="21">
        <v>87.91</v>
      </c>
      <c r="L29" s="34">
        <v>0.89080000000000004</v>
      </c>
      <c r="M29" s="34">
        <v>0.87570000000000003</v>
      </c>
      <c r="N29" s="34">
        <v>0.88319999999999999</v>
      </c>
      <c r="O29" s="34">
        <v>0.86670000000000003</v>
      </c>
      <c r="P29" s="34">
        <v>0.88270000000000004</v>
      </c>
      <c r="Q29" s="34">
        <v>0.87460000000000004</v>
      </c>
      <c r="R29" s="21" t="s">
        <v>273</v>
      </c>
    </row>
    <row r="30" spans="1:18" x14ac:dyDescent="0.4">
      <c r="K30" s="21">
        <v>87.91</v>
      </c>
      <c r="L30" s="34">
        <v>0.89080000000000004</v>
      </c>
      <c r="M30" s="34">
        <v>0.87570000000000003</v>
      </c>
      <c r="N30" s="34">
        <v>0.88319999999999999</v>
      </c>
      <c r="O30" s="34">
        <v>0.86670000000000003</v>
      </c>
      <c r="P30" s="34">
        <v>0.88270000000000004</v>
      </c>
      <c r="Q30" s="34">
        <v>0.87460000000000004</v>
      </c>
      <c r="R30" s="21" t="s">
        <v>274</v>
      </c>
    </row>
    <row r="31" spans="1:18" x14ac:dyDescent="0.4">
      <c r="A31" s="21" t="s">
        <v>277</v>
      </c>
      <c r="B31" s="21" t="s">
        <v>502</v>
      </c>
      <c r="C31" s="21" t="s">
        <v>275</v>
      </c>
      <c r="D31" s="21">
        <v>256</v>
      </c>
      <c r="E31" s="21" t="s">
        <v>100</v>
      </c>
      <c r="F31" s="21">
        <v>90</v>
      </c>
      <c r="G31" s="21" t="b">
        <v>0</v>
      </c>
      <c r="H31" s="21" t="s">
        <v>276</v>
      </c>
      <c r="I31" s="21" t="s">
        <v>60</v>
      </c>
      <c r="J31" s="21" t="s">
        <v>257</v>
      </c>
      <c r="K31" s="21">
        <v>88.2</v>
      </c>
      <c r="L31" s="34">
        <v>0.89139999999999997</v>
      </c>
      <c r="M31" s="34">
        <v>0.88139999999999996</v>
      </c>
      <c r="N31" s="34">
        <v>0.88639999999999997</v>
      </c>
      <c r="O31" s="34">
        <v>0.872</v>
      </c>
      <c r="P31" s="34">
        <v>0.88270000000000004</v>
      </c>
      <c r="Q31" s="34">
        <v>0.87729999999999997</v>
      </c>
      <c r="R31" s="21" t="s">
        <v>278</v>
      </c>
    </row>
    <row r="32" spans="1:18" x14ac:dyDescent="0.4">
      <c r="K32" s="21">
        <v>88.2</v>
      </c>
      <c r="L32" s="34">
        <v>0.89139999999999997</v>
      </c>
      <c r="M32" s="34">
        <v>0.88139999999999996</v>
      </c>
      <c r="N32" s="34">
        <v>0.88639999999999997</v>
      </c>
      <c r="O32" s="34">
        <v>0.872</v>
      </c>
      <c r="P32" s="34">
        <v>0.88270000000000004</v>
      </c>
      <c r="Q32" s="34">
        <v>0.87729999999999997</v>
      </c>
      <c r="R32" s="21" t="s">
        <v>279</v>
      </c>
    </row>
    <row r="33" spans="1:18" x14ac:dyDescent="0.4">
      <c r="A33" s="21" t="s">
        <v>280</v>
      </c>
      <c r="B33" s="21" t="s">
        <v>502</v>
      </c>
      <c r="C33" s="21" t="s">
        <v>275</v>
      </c>
      <c r="D33" s="21">
        <v>256</v>
      </c>
      <c r="E33" s="21" t="s">
        <v>100</v>
      </c>
      <c r="F33" s="21">
        <v>90</v>
      </c>
      <c r="G33" s="21" t="b">
        <v>0</v>
      </c>
      <c r="H33" s="21" t="s">
        <v>276</v>
      </c>
      <c r="I33" s="21" t="s">
        <v>60</v>
      </c>
      <c r="J33" s="21" t="s">
        <v>257</v>
      </c>
      <c r="K33" s="21">
        <v>88.2</v>
      </c>
      <c r="L33" s="34">
        <v>0.89139999999999997</v>
      </c>
      <c r="M33" s="34">
        <v>0.88139999999999996</v>
      </c>
      <c r="N33" s="34">
        <v>0.88639999999999997</v>
      </c>
      <c r="O33" s="34">
        <v>0.872</v>
      </c>
      <c r="P33" s="34">
        <v>0.88270000000000004</v>
      </c>
      <c r="Q33" s="34">
        <v>0.87729999999999997</v>
      </c>
      <c r="R33" s="21" t="s">
        <v>281</v>
      </c>
    </row>
    <row r="34" spans="1:18" x14ac:dyDescent="0.4">
      <c r="K34" s="21">
        <v>88.2</v>
      </c>
      <c r="L34" s="34">
        <v>0.89139999999999997</v>
      </c>
      <c r="M34" s="34">
        <v>0.88139999999999996</v>
      </c>
      <c r="N34" s="34">
        <v>0.88639999999999997</v>
      </c>
      <c r="O34" s="34">
        <v>0.872</v>
      </c>
      <c r="P34" s="34">
        <v>0.88270000000000004</v>
      </c>
      <c r="Q34" s="34">
        <v>0.87729999999999997</v>
      </c>
      <c r="R34" s="21" t="s">
        <v>282</v>
      </c>
    </row>
    <row r="35" spans="1:18" x14ac:dyDescent="0.4">
      <c r="A35" s="21" t="s">
        <v>283</v>
      </c>
      <c r="B35" s="21" t="s">
        <v>502</v>
      </c>
      <c r="C35" s="21" t="s">
        <v>275</v>
      </c>
      <c r="D35" s="21">
        <v>256</v>
      </c>
      <c r="E35" s="21" t="s">
        <v>100</v>
      </c>
      <c r="F35" s="21">
        <v>90</v>
      </c>
      <c r="G35" s="21" t="b">
        <v>0</v>
      </c>
      <c r="H35" s="21" t="s">
        <v>276</v>
      </c>
      <c r="I35" s="21" t="s">
        <v>60</v>
      </c>
      <c r="J35" s="21" t="s">
        <v>257</v>
      </c>
      <c r="K35" s="21">
        <v>87.91</v>
      </c>
      <c r="L35" s="34">
        <v>0.89080000000000004</v>
      </c>
      <c r="M35" s="34">
        <v>0.87570000000000003</v>
      </c>
      <c r="N35" s="34">
        <v>0.88319999999999999</v>
      </c>
      <c r="O35" s="34">
        <v>0.86670000000000003</v>
      </c>
      <c r="P35" s="34">
        <v>0.88270000000000004</v>
      </c>
      <c r="Q35" s="34">
        <v>0.87460000000000004</v>
      </c>
      <c r="R35" s="21" t="s">
        <v>284</v>
      </c>
    </row>
    <row r="36" spans="1:18" x14ac:dyDescent="0.4">
      <c r="K36" s="21">
        <v>87.91</v>
      </c>
      <c r="L36" s="34">
        <v>0.89080000000000004</v>
      </c>
      <c r="M36" s="34">
        <v>0.87570000000000003</v>
      </c>
      <c r="N36" s="34">
        <v>0.88319999999999999</v>
      </c>
      <c r="O36" s="34">
        <v>0.86670000000000003</v>
      </c>
      <c r="P36" s="34">
        <v>0.88270000000000004</v>
      </c>
      <c r="Q36" s="34">
        <v>0.87460000000000004</v>
      </c>
      <c r="R36" s="21" t="s">
        <v>285</v>
      </c>
    </row>
    <row r="37" spans="1:18" x14ac:dyDescent="0.4">
      <c r="A37" s="21" t="s">
        <v>286</v>
      </c>
      <c r="B37" s="21" t="s">
        <v>502</v>
      </c>
      <c r="C37" s="21" t="s">
        <v>275</v>
      </c>
      <c r="D37" s="21">
        <v>256</v>
      </c>
      <c r="E37" s="21" t="s">
        <v>100</v>
      </c>
      <c r="F37" s="21">
        <v>90</v>
      </c>
      <c r="G37" s="21" t="b">
        <v>0</v>
      </c>
      <c r="H37" s="21" t="s">
        <v>276</v>
      </c>
      <c r="I37" s="21" t="s">
        <v>60</v>
      </c>
      <c r="J37" s="21" t="s">
        <v>257</v>
      </c>
      <c r="K37" s="21">
        <v>87.02</v>
      </c>
      <c r="L37" s="34">
        <v>0.88439999999999996</v>
      </c>
      <c r="M37" s="34">
        <v>0.86439999999999995</v>
      </c>
      <c r="N37" s="34">
        <v>0.87429999999999997</v>
      </c>
      <c r="O37" s="34">
        <v>0.85540000000000005</v>
      </c>
      <c r="P37" s="34">
        <v>0.87649999999999995</v>
      </c>
      <c r="Q37" s="34">
        <v>0.8659</v>
      </c>
      <c r="R37" s="21" t="s">
        <v>287</v>
      </c>
    </row>
    <row r="38" spans="1:18" x14ac:dyDescent="0.4">
      <c r="K38" s="21">
        <v>87.61</v>
      </c>
      <c r="L38" s="34">
        <v>0.88570000000000004</v>
      </c>
      <c r="M38" s="34">
        <v>0.87570000000000003</v>
      </c>
      <c r="N38" s="34">
        <v>0.88070000000000004</v>
      </c>
      <c r="O38" s="34">
        <v>0.8659</v>
      </c>
      <c r="P38" s="34">
        <v>0.87649999999999995</v>
      </c>
      <c r="Q38" s="34">
        <v>0.87119999999999997</v>
      </c>
      <c r="R38" s="21" t="s">
        <v>288</v>
      </c>
    </row>
    <row r="39" spans="1:18" x14ac:dyDescent="0.4">
      <c r="A39" s="21" t="s">
        <v>289</v>
      </c>
      <c r="B39" s="21" t="s">
        <v>502</v>
      </c>
      <c r="C39" s="21" t="s">
        <v>275</v>
      </c>
      <c r="D39" s="21">
        <v>256</v>
      </c>
      <c r="E39" s="21" t="s">
        <v>100</v>
      </c>
      <c r="F39" s="21">
        <v>90</v>
      </c>
      <c r="G39" s="21" t="b">
        <v>0</v>
      </c>
      <c r="H39" s="21" t="s">
        <v>276</v>
      </c>
      <c r="I39" s="21" t="s">
        <v>60</v>
      </c>
      <c r="J39" s="21" t="s">
        <v>257</v>
      </c>
      <c r="K39" s="21">
        <v>86.43</v>
      </c>
      <c r="L39" s="34">
        <v>0.8619</v>
      </c>
      <c r="M39" s="34">
        <v>0.88139999999999996</v>
      </c>
      <c r="N39" s="34">
        <v>0.87150000000000005</v>
      </c>
      <c r="O39" s="34">
        <v>0.86709999999999998</v>
      </c>
      <c r="P39" s="34">
        <v>0.84570000000000001</v>
      </c>
      <c r="Q39" s="34">
        <v>0.85619999999999996</v>
      </c>
      <c r="R39" s="21" t="s">
        <v>290</v>
      </c>
    </row>
    <row r="40" spans="1:18" x14ac:dyDescent="0.4">
      <c r="K40" s="21">
        <v>87.02</v>
      </c>
      <c r="L40" s="34">
        <v>0.88890000000000002</v>
      </c>
      <c r="M40" s="34">
        <v>0.85880000000000001</v>
      </c>
      <c r="N40" s="34">
        <v>0.87360000000000004</v>
      </c>
      <c r="O40" s="34">
        <v>0.85119999999999996</v>
      </c>
      <c r="P40" s="34">
        <v>0.88270000000000004</v>
      </c>
      <c r="Q40" s="34">
        <v>0.86670000000000003</v>
      </c>
      <c r="R40" s="21" t="s">
        <v>291</v>
      </c>
    </row>
    <row r="41" spans="1:18" x14ac:dyDescent="0.4">
      <c r="A41" s="21" t="s">
        <v>292</v>
      </c>
      <c r="B41" s="21" t="s">
        <v>502</v>
      </c>
      <c r="C41" s="21" t="s">
        <v>275</v>
      </c>
      <c r="D41" s="21">
        <v>256</v>
      </c>
      <c r="E41" s="21" t="s">
        <v>100</v>
      </c>
      <c r="F41" s="21">
        <v>90</v>
      </c>
      <c r="G41" s="21" t="b">
        <v>0</v>
      </c>
      <c r="H41" s="21" t="s">
        <v>276</v>
      </c>
      <c r="I41" s="21" t="s">
        <v>60</v>
      </c>
      <c r="J41" s="21" t="s">
        <v>257</v>
      </c>
      <c r="K41" s="21">
        <v>87.32</v>
      </c>
      <c r="L41" s="34">
        <v>0.86809999999999998</v>
      </c>
      <c r="M41" s="34">
        <v>0.89270000000000005</v>
      </c>
      <c r="N41" s="34">
        <v>0.88019999999999998</v>
      </c>
      <c r="O41" s="34">
        <v>0.879</v>
      </c>
      <c r="P41" s="34">
        <v>0.85189999999999999</v>
      </c>
      <c r="Q41" s="34">
        <v>0.86519999999999997</v>
      </c>
      <c r="R41" s="21" t="s">
        <v>293</v>
      </c>
    </row>
    <row r="42" spans="1:18" x14ac:dyDescent="0.4">
      <c r="K42" s="21">
        <v>87.91</v>
      </c>
      <c r="L42" s="34">
        <v>0.90959999999999996</v>
      </c>
      <c r="M42" s="34">
        <v>0.85309999999999997</v>
      </c>
      <c r="N42" s="34">
        <v>0.88049999999999995</v>
      </c>
      <c r="O42" s="34">
        <v>0.84970000000000001</v>
      </c>
      <c r="P42" s="34">
        <v>0.90739999999999998</v>
      </c>
      <c r="Q42" s="34">
        <v>0.87760000000000005</v>
      </c>
      <c r="R42" s="21" t="s">
        <v>294</v>
      </c>
    </row>
    <row r="43" spans="1:18" x14ac:dyDescent="0.4">
      <c r="A43" s="21" t="s">
        <v>295</v>
      </c>
      <c r="B43" s="21" t="s">
        <v>502</v>
      </c>
      <c r="C43" s="21" t="s">
        <v>275</v>
      </c>
      <c r="D43" s="21">
        <v>256</v>
      </c>
      <c r="E43" s="21" t="s">
        <v>100</v>
      </c>
      <c r="F43" s="21">
        <v>90</v>
      </c>
      <c r="G43" s="21" t="b">
        <v>0</v>
      </c>
      <c r="H43" s="21" t="s">
        <v>56</v>
      </c>
      <c r="I43" s="21" t="s">
        <v>59</v>
      </c>
      <c r="J43" s="21" t="s">
        <v>257</v>
      </c>
      <c r="K43" s="21">
        <v>86.43</v>
      </c>
      <c r="L43" s="34">
        <v>0.8579</v>
      </c>
      <c r="M43" s="34">
        <v>0.88700000000000001</v>
      </c>
      <c r="N43" s="34">
        <v>0.87219999999999998</v>
      </c>
      <c r="O43" s="34">
        <v>0.87180000000000002</v>
      </c>
      <c r="P43" s="34">
        <v>0.83950000000000002</v>
      </c>
      <c r="Q43" s="34">
        <v>0.85529999999999995</v>
      </c>
      <c r="R43" s="21" t="s">
        <v>296</v>
      </c>
    </row>
    <row r="44" spans="1:18" x14ac:dyDescent="0.4">
      <c r="A44" s="21" t="s">
        <v>295</v>
      </c>
      <c r="B44" s="21" t="s">
        <v>502</v>
      </c>
      <c r="C44" s="21" t="s">
        <v>275</v>
      </c>
      <c r="D44" s="21">
        <v>256</v>
      </c>
      <c r="E44" s="21" t="s">
        <v>100</v>
      </c>
      <c r="F44" s="21">
        <v>90</v>
      </c>
      <c r="G44" s="21" t="b">
        <v>0</v>
      </c>
      <c r="H44" s="21" t="s">
        <v>56</v>
      </c>
      <c r="I44" s="21" t="s">
        <v>60</v>
      </c>
      <c r="J44" s="21" t="s">
        <v>257</v>
      </c>
      <c r="K44" s="21">
        <v>87.61</v>
      </c>
      <c r="L44" s="34">
        <v>0.87290000000000001</v>
      </c>
      <c r="M44" s="34">
        <v>0.89270000000000005</v>
      </c>
      <c r="N44" s="34">
        <v>0.88270000000000004</v>
      </c>
      <c r="O44" s="34">
        <v>0.87970000000000004</v>
      </c>
      <c r="P44" s="34">
        <v>0.85799999999999998</v>
      </c>
      <c r="Q44" s="34">
        <v>0.86880000000000002</v>
      </c>
      <c r="R44" s="21" t="s">
        <v>297</v>
      </c>
    </row>
    <row r="45" spans="1:18" x14ac:dyDescent="0.4">
      <c r="A45" s="21" t="s">
        <v>304</v>
      </c>
      <c r="B45" s="21" t="s">
        <v>502</v>
      </c>
      <c r="C45" s="21" t="s">
        <v>53</v>
      </c>
      <c r="D45" s="21">
        <v>256</v>
      </c>
      <c r="E45" s="21" t="s">
        <v>101</v>
      </c>
      <c r="F45" s="21">
        <v>90</v>
      </c>
      <c r="G45" s="21" t="b">
        <v>0</v>
      </c>
      <c r="H45" s="21" t="s">
        <v>56</v>
      </c>
      <c r="I45" s="21" t="s">
        <v>59</v>
      </c>
      <c r="J45" s="21" t="s">
        <v>257</v>
      </c>
      <c r="K45" s="21">
        <v>88.2</v>
      </c>
      <c r="L45" s="34">
        <v>0.87849999999999995</v>
      </c>
      <c r="M45" s="34">
        <v>0.89829999999999999</v>
      </c>
      <c r="N45" s="34">
        <v>0.88829999999999998</v>
      </c>
      <c r="O45" s="34">
        <v>0.8861</v>
      </c>
      <c r="P45" s="34">
        <v>0.86419999999999997</v>
      </c>
      <c r="Q45" s="34">
        <v>0.875</v>
      </c>
      <c r="R45" s="21" t="s">
        <v>300</v>
      </c>
    </row>
    <row r="46" spans="1:18" x14ac:dyDescent="0.4">
      <c r="K46" s="21">
        <v>87.32</v>
      </c>
      <c r="L46" s="34">
        <v>0.8851</v>
      </c>
      <c r="M46" s="34">
        <v>0.87009999999999998</v>
      </c>
      <c r="N46" s="34">
        <v>0.87749999999999995</v>
      </c>
      <c r="O46" s="34">
        <v>0.86060000000000003</v>
      </c>
      <c r="P46" s="34">
        <v>0.87649999999999995</v>
      </c>
      <c r="Q46" s="34">
        <v>0.86850000000000005</v>
      </c>
      <c r="R46" s="21" t="s">
        <v>301</v>
      </c>
    </row>
    <row r="47" spans="1:18" x14ac:dyDescent="0.4">
      <c r="A47" s="20" t="s">
        <v>298</v>
      </c>
      <c r="B47" s="21" t="s">
        <v>502</v>
      </c>
      <c r="C47" s="21" t="s">
        <v>53</v>
      </c>
      <c r="D47" s="21">
        <v>256</v>
      </c>
      <c r="E47" s="21" t="s">
        <v>101</v>
      </c>
      <c r="F47" s="21">
        <v>90</v>
      </c>
      <c r="G47" s="21" t="b">
        <v>0</v>
      </c>
      <c r="H47" s="21" t="s">
        <v>57</v>
      </c>
      <c r="I47" s="21" t="s">
        <v>117</v>
      </c>
      <c r="J47" s="21" t="s">
        <v>257</v>
      </c>
      <c r="K47" s="21">
        <v>89.09</v>
      </c>
      <c r="L47" s="34">
        <v>0.88039999999999996</v>
      </c>
      <c r="M47" s="34">
        <v>0.9153</v>
      </c>
      <c r="N47" s="34">
        <v>0.89749999999999996</v>
      </c>
      <c r="O47" s="34">
        <v>0.9032</v>
      </c>
      <c r="P47" s="34">
        <v>0.86419999999999997</v>
      </c>
      <c r="Q47" s="34">
        <v>0.88329999999999997</v>
      </c>
      <c r="R47" s="21" t="s">
        <v>299</v>
      </c>
    </row>
    <row r="48" spans="1:18" x14ac:dyDescent="0.4">
      <c r="K48" s="21">
        <v>88.79</v>
      </c>
      <c r="L48" s="34">
        <v>0.87570000000000003</v>
      </c>
      <c r="M48" s="34">
        <v>0.9153</v>
      </c>
      <c r="N48" s="34">
        <v>0.89500000000000002</v>
      </c>
      <c r="O48" s="34">
        <v>0.90259999999999996</v>
      </c>
      <c r="P48" s="34">
        <v>0.85799999999999998</v>
      </c>
      <c r="Q48" s="34">
        <v>0.87970000000000004</v>
      </c>
      <c r="R48" s="21" t="s">
        <v>302</v>
      </c>
    </row>
    <row r="49" spans="1:18" x14ac:dyDescent="0.4">
      <c r="A49" s="21" t="s">
        <v>305</v>
      </c>
      <c r="B49" s="21" t="s">
        <v>502</v>
      </c>
      <c r="C49" s="21" t="s">
        <v>53</v>
      </c>
      <c r="D49" s="21">
        <v>256</v>
      </c>
      <c r="E49" s="21" t="s">
        <v>101</v>
      </c>
      <c r="F49" s="21">
        <v>90</v>
      </c>
      <c r="G49" s="21" t="b">
        <v>0</v>
      </c>
      <c r="H49" s="21" t="s">
        <v>276</v>
      </c>
      <c r="I49" s="21" t="s">
        <v>60</v>
      </c>
      <c r="J49" s="21" t="s">
        <v>257</v>
      </c>
      <c r="K49" s="21">
        <v>89.68</v>
      </c>
      <c r="L49" s="34">
        <v>0.91279999999999994</v>
      </c>
      <c r="M49" s="34">
        <v>0.88700000000000001</v>
      </c>
      <c r="N49" s="34">
        <v>0.89970000000000006</v>
      </c>
      <c r="O49" s="34">
        <v>0.88019999999999998</v>
      </c>
      <c r="P49" s="34">
        <v>0.90739999999999998</v>
      </c>
      <c r="Q49" s="34">
        <v>0.89359999999999995</v>
      </c>
      <c r="R49" s="21" t="s">
        <v>306</v>
      </c>
    </row>
    <row r="50" spans="1:18" x14ac:dyDescent="0.4">
      <c r="K50" s="21">
        <v>89.97</v>
      </c>
      <c r="L50" s="34">
        <v>0.9133</v>
      </c>
      <c r="M50" s="34">
        <v>0.89270000000000005</v>
      </c>
      <c r="N50" s="34">
        <v>0.90290000000000004</v>
      </c>
      <c r="O50" s="34">
        <v>0.88549999999999995</v>
      </c>
      <c r="P50" s="34">
        <v>0.90739999999999998</v>
      </c>
      <c r="Q50" s="34">
        <v>0.89629999999999999</v>
      </c>
      <c r="R50" s="21" t="s">
        <v>307</v>
      </c>
    </row>
    <row r="51" spans="1:18" x14ac:dyDescent="0.4">
      <c r="K51" s="21">
        <v>89.68</v>
      </c>
      <c r="L51" s="34">
        <v>0.91279999999999994</v>
      </c>
      <c r="M51" s="34">
        <v>0.88700000000000001</v>
      </c>
      <c r="N51" s="34">
        <v>0.89970000000000006</v>
      </c>
      <c r="O51" s="34">
        <v>0.88019999999999998</v>
      </c>
      <c r="P51" s="34">
        <v>0.90739999999999998</v>
      </c>
      <c r="Q51" s="34">
        <v>0.89359999999999995</v>
      </c>
      <c r="R51" s="21" t="s">
        <v>311</v>
      </c>
    </row>
    <row r="52" spans="1:18" x14ac:dyDescent="0.4">
      <c r="K52" s="21">
        <v>89.68</v>
      </c>
      <c r="L52" s="34">
        <v>0.90800000000000003</v>
      </c>
      <c r="M52" s="34">
        <v>0.89270000000000005</v>
      </c>
      <c r="N52" s="34">
        <v>0.90029999999999999</v>
      </c>
      <c r="O52" s="34">
        <v>0.88480000000000003</v>
      </c>
      <c r="P52" s="34">
        <v>0.9012</v>
      </c>
      <c r="Q52" s="34">
        <v>0.89300000000000002</v>
      </c>
      <c r="R52" s="21" t="s">
        <v>312</v>
      </c>
    </row>
    <row r="53" spans="1:18" x14ac:dyDescent="0.4">
      <c r="K53" s="21">
        <v>89.97</v>
      </c>
      <c r="L53" s="34">
        <v>0.9133</v>
      </c>
      <c r="M53" s="34">
        <v>0.89270000000000005</v>
      </c>
      <c r="N53" s="34">
        <v>0.90290000000000004</v>
      </c>
      <c r="O53" s="34">
        <v>0.88549999999999995</v>
      </c>
      <c r="P53" s="34">
        <v>0.90739999999999998</v>
      </c>
      <c r="Q53" s="34">
        <v>0.89629999999999999</v>
      </c>
      <c r="R53" s="21" t="s">
        <v>313</v>
      </c>
    </row>
    <row r="54" spans="1:18" x14ac:dyDescent="0.4">
      <c r="A54" s="21" t="s">
        <v>308</v>
      </c>
      <c r="B54" s="21" t="s">
        <v>502</v>
      </c>
      <c r="C54" s="21" t="s">
        <v>53</v>
      </c>
      <c r="D54" s="21">
        <v>256</v>
      </c>
      <c r="E54" s="21" t="s">
        <v>101</v>
      </c>
      <c r="F54" s="21">
        <v>90</v>
      </c>
      <c r="G54" s="21" t="b">
        <v>0</v>
      </c>
      <c r="H54" s="21" t="s">
        <v>276</v>
      </c>
      <c r="I54" s="21" t="s">
        <v>60</v>
      </c>
      <c r="J54" s="21" t="s">
        <v>257</v>
      </c>
      <c r="K54" s="21">
        <v>88.5</v>
      </c>
      <c r="L54" s="34">
        <v>0.87909999999999999</v>
      </c>
      <c r="M54" s="34">
        <v>0.90400000000000003</v>
      </c>
      <c r="N54" s="34">
        <v>0.89139999999999997</v>
      </c>
      <c r="O54" s="34">
        <v>0.89170000000000005</v>
      </c>
      <c r="P54" s="34">
        <v>0.86419999999999997</v>
      </c>
      <c r="Q54" s="34">
        <v>0.87770000000000004</v>
      </c>
      <c r="R54" s="21" t="s">
        <v>309</v>
      </c>
    </row>
    <row r="55" spans="1:18" x14ac:dyDescent="0.4">
      <c r="K55" s="21">
        <v>89.09</v>
      </c>
      <c r="L55" s="34">
        <v>0.90229999999999999</v>
      </c>
      <c r="M55" s="34">
        <v>0.88700000000000001</v>
      </c>
      <c r="N55" s="34">
        <v>0.89459999999999995</v>
      </c>
      <c r="O55" s="34">
        <v>0.87880000000000003</v>
      </c>
      <c r="P55" s="34">
        <v>0.89510000000000001</v>
      </c>
      <c r="Q55" s="34">
        <v>0.88690000000000002</v>
      </c>
      <c r="R55" s="21" t="s">
        <v>310</v>
      </c>
    </row>
    <row r="56" spans="1:18" x14ac:dyDescent="0.4">
      <c r="A56" s="21" t="s">
        <v>305</v>
      </c>
      <c r="B56" s="21" t="s">
        <v>502</v>
      </c>
      <c r="C56" s="21" t="s">
        <v>53</v>
      </c>
      <c r="D56" s="21">
        <v>256</v>
      </c>
      <c r="E56" s="21" t="s">
        <v>102</v>
      </c>
      <c r="F56" s="21">
        <v>90</v>
      </c>
      <c r="G56" s="21" t="b">
        <v>0</v>
      </c>
      <c r="H56" s="21" t="s">
        <v>56</v>
      </c>
      <c r="I56" s="21" t="s">
        <v>59</v>
      </c>
      <c r="J56" s="21" t="s">
        <v>257</v>
      </c>
      <c r="K56" s="21">
        <v>87.02</v>
      </c>
      <c r="L56" s="34">
        <v>0.88</v>
      </c>
      <c r="M56" s="34">
        <v>0.87009999999999998</v>
      </c>
      <c r="N56" s="34">
        <v>0.875</v>
      </c>
      <c r="O56" s="34">
        <v>0.85980000000000001</v>
      </c>
      <c r="P56" s="34">
        <v>0.87039999999999995</v>
      </c>
      <c r="Q56" s="34">
        <v>0.86499999999999999</v>
      </c>
      <c r="R56" s="21" t="s">
        <v>325</v>
      </c>
    </row>
    <row r="57" spans="1:18" x14ac:dyDescent="0.4">
      <c r="K57" s="21">
        <v>87.32</v>
      </c>
      <c r="L57" s="34">
        <v>0.8851</v>
      </c>
      <c r="M57" s="34">
        <v>0.87009999999999998</v>
      </c>
      <c r="N57" s="34">
        <v>0.87749999999999995</v>
      </c>
      <c r="O57" s="34">
        <v>0.86060000000000003</v>
      </c>
      <c r="P57" s="34">
        <v>0.87649999999999995</v>
      </c>
      <c r="Q57" s="34">
        <v>0.86850000000000005</v>
      </c>
      <c r="R57" s="21" t="s">
        <v>326</v>
      </c>
    </row>
    <row r="58" spans="1:18" x14ac:dyDescent="0.4">
      <c r="A58" s="21" t="s">
        <v>327</v>
      </c>
      <c r="B58" s="21" t="s">
        <v>502</v>
      </c>
      <c r="C58" s="21" t="s">
        <v>53</v>
      </c>
      <c r="D58" s="21">
        <v>256</v>
      </c>
      <c r="E58" s="21" t="s">
        <v>102</v>
      </c>
      <c r="F58" s="21">
        <v>90</v>
      </c>
      <c r="G58" s="21" t="b">
        <v>0</v>
      </c>
      <c r="H58" s="21" t="s">
        <v>56</v>
      </c>
      <c r="I58" s="21" t="s">
        <v>59</v>
      </c>
      <c r="J58" s="21" t="s">
        <v>257</v>
      </c>
      <c r="K58" s="21">
        <v>85.25</v>
      </c>
      <c r="L58" s="34">
        <v>0.84319999999999995</v>
      </c>
      <c r="M58" s="34">
        <v>0.88139999999999996</v>
      </c>
      <c r="N58" s="34">
        <v>0.8619</v>
      </c>
      <c r="O58" s="34">
        <v>0.86360000000000003</v>
      </c>
      <c r="P58" s="34">
        <v>0.82099999999999995</v>
      </c>
      <c r="Q58" s="34">
        <v>0.84179999999999999</v>
      </c>
      <c r="R58" s="21" t="s">
        <v>328</v>
      </c>
    </row>
    <row r="59" spans="1:18" x14ac:dyDescent="0.4">
      <c r="K59" s="21">
        <v>87.32</v>
      </c>
      <c r="L59" s="34">
        <v>0.86809999999999998</v>
      </c>
      <c r="M59" s="34">
        <v>0.89270000000000005</v>
      </c>
      <c r="N59" s="34">
        <v>0.88019999999999998</v>
      </c>
      <c r="O59" s="34">
        <v>0.879</v>
      </c>
      <c r="P59" s="34">
        <v>0.85189999999999999</v>
      </c>
      <c r="Q59" s="34">
        <v>0.86519999999999997</v>
      </c>
      <c r="R59" s="21" t="s">
        <v>329</v>
      </c>
    </row>
    <row r="60" spans="1:18" x14ac:dyDescent="0.4">
      <c r="A60" s="21" t="s">
        <v>332</v>
      </c>
      <c r="B60" s="21" t="s">
        <v>502</v>
      </c>
      <c r="C60" s="21" t="s">
        <v>275</v>
      </c>
      <c r="D60" s="21">
        <v>256</v>
      </c>
      <c r="E60" s="21" t="s">
        <v>100</v>
      </c>
      <c r="F60" s="21">
        <v>90</v>
      </c>
      <c r="G60" s="21" t="b">
        <v>0</v>
      </c>
      <c r="H60" s="21" t="s">
        <v>276</v>
      </c>
      <c r="I60" s="21" t="s">
        <v>60</v>
      </c>
      <c r="J60" s="21" t="s">
        <v>257</v>
      </c>
      <c r="K60" s="21">
        <v>89.68</v>
      </c>
      <c r="L60" s="34">
        <v>0.90800000000000003</v>
      </c>
      <c r="M60" s="34">
        <v>0.89270000000000005</v>
      </c>
      <c r="N60" s="34">
        <v>0.90029999999999999</v>
      </c>
      <c r="O60" s="34">
        <v>0.88480000000000003</v>
      </c>
      <c r="P60" s="34">
        <v>0.9012</v>
      </c>
      <c r="Q60" s="34">
        <v>0.89300000000000002</v>
      </c>
      <c r="R60" s="21" t="s">
        <v>330</v>
      </c>
    </row>
    <row r="61" spans="1:18" x14ac:dyDescent="0.4">
      <c r="K61" s="21">
        <v>89.68</v>
      </c>
      <c r="L61" s="34">
        <v>0.90800000000000003</v>
      </c>
      <c r="M61" s="34">
        <v>0.89270000000000005</v>
      </c>
      <c r="N61" s="34">
        <v>0.90029999999999999</v>
      </c>
      <c r="O61" s="34">
        <v>0.88480000000000003</v>
      </c>
      <c r="P61" s="34">
        <v>0.9012</v>
      </c>
      <c r="Q61" s="34">
        <v>0.89300000000000002</v>
      </c>
      <c r="R61" s="21" t="s">
        <v>331</v>
      </c>
    </row>
    <row r="62" spans="1:18" x14ac:dyDescent="0.4">
      <c r="A62" s="20" t="s">
        <v>339</v>
      </c>
      <c r="B62" s="21" t="s">
        <v>502</v>
      </c>
      <c r="C62" s="21" t="s">
        <v>53</v>
      </c>
      <c r="D62" s="21">
        <v>256</v>
      </c>
      <c r="E62" s="21" t="s">
        <v>101</v>
      </c>
      <c r="F62" s="21">
        <v>90</v>
      </c>
      <c r="G62" s="21" t="b">
        <v>0</v>
      </c>
      <c r="H62" s="21" t="s">
        <v>276</v>
      </c>
      <c r="I62" s="21" t="s">
        <v>60</v>
      </c>
      <c r="J62" s="21" t="s">
        <v>257</v>
      </c>
      <c r="K62" s="21">
        <v>89.68</v>
      </c>
      <c r="L62" s="34">
        <v>0.90800000000000003</v>
      </c>
      <c r="M62" s="34">
        <v>0.89270000000000005</v>
      </c>
      <c r="N62" s="34">
        <v>0.90029999999999999</v>
      </c>
      <c r="O62" s="34">
        <v>0.88480000000000003</v>
      </c>
      <c r="P62" s="34">
        <v>0.9012</v>
      </c>
      <c r="Q62" s="34">
        <v>0.89300000000000002</v>
      </c>
      <c r="R62" s="21" t="s">
        <v>340</v>
      </c>
    </row>
    <row r="63" spans="1:18" x14ac:dyDescent="0.4">
      <c r="K63" s="21">
        <v>90.27</v>
      </c>
      <c r="L63" s="34">
        <v>0.91379999999999995</v>
      </c>
      <c r="M63" s="34">
        <v>0.89829999999999999</v>
      </c>
      <c r="N63" s="34">
        <v>0.90600000000000003</v>
      </c>
      <c r="O63" s="34">
        <v>0.89090000000000003</v>
      </c>
      <c r="P63" s="34">
        <v>0.90739999999999998</v>
      </c>
      <c r="Q63" s="34">
        <v>0.89910000000000001</v>
      </c>
      <c r="R63" s="21" t="s">
        <v>341</v>
      </c>
    </row>
    <row r="64" spans="1:18" x14ac:dyDescent="0.4">
      <c r="K64" s="21">
        <v>89.68</v>
      </c>
      <c r="L64" s="34">
        <v>0.90339999999999998</v>
      </c>
      <c r="M64" s="34">
        <v>0.89829999999999999</v>
      </c>
      <c r="N64" s="34">
        <v>0.90080000000000005</v>
      </c>
      <c r="O64" s="34">
        <v>0.88959999999999995</v>
      </c>
      <c r="P64" s="34">
        <v>0.89510000000000001</v>
      </c>
      <c r="Q64" s="34">
        <v>0.89229999999999998</v>
      </c>
      <c r="R64" s="21" t="s">
        <v>351</v>
      </c>
    </row>
    <row r="65" spans="1:19" x14ac:dyDescent="0.4">
      <c r="K65" s="21">
        <v>89.97</v>
      </c>
      <c r="L65" s="34">
        <v>0.90859999999999996</v>
      </c>
      <c r="M65" s="34">
        <v>0.89829999999999999</v>
      </c>
      <c r="N65" s="34">
        <v>0.90339999999999998</v>
      </c>
      <c r="O65" s="34">
        <v>0.89019999999999999</v>
      </c>
      <c r="P65" s="34">
        <v>0.9012</v>
      </c>
      <c r="Q65" s="34">
        <v>0.89570000000000005</v>
      </c>
      <c r="R65" s="21" t="s">
        <v>353</v>
      </c>
    </row>
    <row r="66" spans="1:19" x14ac:dyDescent="0.4">
      <c r="K66" s="21">
        <v>89.68</v>
      </c>
      <c r="L66" s="34">
        <v>0.90339999999999998</v>
      </c>
      <c r="M66" s="34">
        <v>0.89829999999999999</v>
      </c>
      <c r="N66" s="34">
        <v>0.90080000000000005</v>
      </c>
      <c r="O66" s="34">
        <v>0.88959999999999995</v>
      </c>
      <c r="P66" s="34">
        <v>0.89510000000000001</v>
      </c>
      <c r="Q66" s="34">
        <v>0.89229999999999998</v>
      </c>
      <c r="R66" s="21" t="s">
        <v>352</v>
      </c>
    </row>
    <row r="67" spans="1:19" x14ac:dyDescent="0.4">
      <c r="A67" s="21" t="s">
        <v>342</v>
      </c>
      <c r="B67" s="21" t="s">
        <v>502</v>
      </c>
      <c r="C67" s="21" t="s">
        <v>275</v>
      </c>
      <c r="D67" s="21">
        <v>256</v>
      </c>
      <c r="E67" s="21" t="s">
        <v>100</v>
      </c>
      <c r="F67" s="21">
        <v>90</v>
      </c>
      <c r="G67" s="21" t="b">
        <v>0</v>
      </c>
      <c r="H67" s="21" t="s">
        <v>276</v>
      </c>
      <c r="I67" s="21" t="s">
        <v>60</v>
      </c>
      <c r="J67" s="21" t="s">
        <v>257</v>
      </c>
      <c r="K67" s="21">
        <v>88.2</v>
      </c>
      <c r="L67" s="34">
        <v>0.88700000000000001</v>
      </c>
      <c r="M67" s="34">
        <v>0.88700000000000001</v>
      </c>
      <c r="N67" s="34">
        <v>0.88700000000000001</v>
      </c>
      <c r="O67" s="34">
        <v>0.87649999999999995</v>
      </c>
      <c r="P67" s="34">
        <v>0.87649999999999995</v>
      </c>
      <c r="Q67" s="34">
        <v>0.87649999999999995</v>
      </c>
      <c r="R67" s="21" t="s">
        <v>343</v>
      </c>
    </row>
    <row r="68" spans="1:19" x14ac:dyDescent="0.4">
      <c r="K68" s="21">
        <v>88.5</v>
      </c>
      <c r="L68" s="34">
        <v>0.9012</v>
      </c>
      <c r="M68" s="34">
        <v>0.87570000000000003</v>
      </c>
      <c r="N68" s="34">
        <v>0.88829999999999998</v>
      </c>
      <c r="O68" s="34">
        <v>0.86829999999999996</v>
      </c>
      <c r="P68" s="34">
        <v>0.89510000000000001</v>
      </c>
      <c r="Q68" s="34">
        <v>0.88149999999999995</v>
      </c>
      <c r="R68" s="21" t="s">
        <v>344</v>
      </c>
      <c r="S68" s="33"/>
    </row>
    <row r="69" spans="1:19" x14ac:dyDescent="0.4">
      <c r="A69" s="21" t="s">
        <v>347</v>
      </c>
      <c r="B69" s="21" t="s">
        <v>502</v>
      </c>
      <c r="C69" s="21" t="s">
        <v>275</v>
      </c>
      <c r="D69" s="21">
        <v>256</v>
      </c>
      <c r="E69" s="21" t="s">
        <v>100</v>
      </c>
      <c r="F69" s="21">
        <v>90</v>
      </c>
      <c r="G69" s="21" t="b">
        <v>0</v>
      </c>
      <c r="H69" s="21" t="s">
        <v>276</v>
      </c>
      <c r="I69" s="21" t="s">
        <v>60</v>
      </c>
      <c r="J69" s="21" t="s">
        <v>257</v>
      </c>
      <c r="K69" s="21">
        <v>89.09</v>
      </c>
      <c r="L69" s="34">
        <v>0.89770000000000005</v>
      </c>
      <c r="M69" s="34">
        <v>0.89270000000000005</v>
      </c>
      <c r="N69" s="34">
        <v>0.8952</v>
      </c>
      <c r="O69" s="34">
        <v>0.88339999999999996</v>
      </c>
      <c r="P69" s="34">
        <v>0.88890000000000002</v>
      </c>
      <c r="Q69" s="34">
        <v>0.88619999999999999</v>
      </c>
      <c r="R69" s="21" t="s">
        <v>345</v>
      </c>
    </row>
    <row r="70" spans="1:19" x14ac:dyDescent="0.4">
      <c r="K70" s="21">
        <v>90.27</v>
      </c>
      <c r="L70" s="34">
        <v>0.9</v>
      </c>
      <c r="M70" s="34">
        <v>0.9153</v>
      </c>
      <c r="N70" s="34">
        <v>0.90759999999999996</v>
      </c>
      <c r="O70" s="34">
        <v>0.90569999999999995</v>
      </c>
      <c r="P70" s="34">
        <v>0.88890000000000002</v>
      </c>
      <c r="Q70" s="34">
        <v>0.8972</v>
      </c>
      <c r="R70" s="21" t="s">
        <v>346</v>
      </c>
    </row>
    <row r="71" spans="1:19" x14ac:dyDescent="0.4">
      <c r="K71" s="21">
        <v>90.27</v>
      </c>
      <c r="L71" s="34">
        <v>0.9</v>
      </c>
      <c r="M71" s="34">
        <v>0.9153</v>
      </c>
      <c r="N71" s="34">
        <v>0.90759999999999996</v>
      </c>
      <c r="O71" s="34">
        <v>0.90569999999999995</v>
      </c>
      <c r="P71" s="34">
        <v>0.88890000000000002</v>
      </c>
      <c r="Q71" s="34">
        <v>0.8972</v>
      </c>
      <c r="R71" s="21" t="s">
        <v>354</v>
      </c>
    </row>
    <row r="72" spans="1:19" x14ac:dyDescent="0.4">
      <c r="K72" s="21">
        <v>89.09</v>
      </c>
      <c r="L72" s="34">
        <v>0.90229999999999999</v>
      </c>
      <c r="M72" s="34">
        <v>0.88700000000000001</v>
      </c>
      <c r="N72" s="34">
        <v>0.89459999999999995</v>
      </c>
      <c r="O72" s="34">
        <v>0.87880000000000003</v>
      </c>
      <c r="P72" s="34">
        <v>0.89510000000000001</v>
      </c>
      <c r="Q72" s="34">
        <v>0.88690000000000002</v>
      </c>
      <c r="R72" s="21" t="s">
        <v>355</v>
      </c>
    </row>
    <row r="73" spans="1:19" x14ac:dyDescent="0.4">
      <c r="K73" s="21">
        <v>89.38</v>
      </c>
      <c r="L73" s="34">
        <v>0.89390000000000003</v>
      </c>
      <c r="M73" s="34">
        <v>0.90400000000000003</v>
      </c>
      <c r="N73" s="34">
        <v>0.89890000000000003</v>
      </c>
      <c r="O73" s="34">
        <v>0.89380000000000004</v>
      </c>
      <c r="P73" s="34">
        <v>0.88270000000000004</v>
      </c>
      <c r="Q73" s="34">
        <v>0.88819999999999999</v>
      </c>
      <c r="R73" s="21" t="s">
        <v>356</v>
      </c>
    </row>
    <row r="74" spans="1:19" x14ac:dyDescent="0.4">
      <c r="A74" s="21" t="s">
        <v>348</v>
      </c>
      <c r="B74" s="21" t="s">
        <v>502</v>
      </c>
      <c r="C74" s="21" t="s">
        <v>275</v>
      </c>
      <c r="D74" s="21">
        <v>256</v>
      </c>
      <c r="E74" s="21" t="s">
        <v>100</v>
      </c>
      <c r="F74" s="21">
        <v>90</v>
      </c>
      <c r="G74" s="21" t="b">
        <v>0</v>
      </c>
      <c r="H74" s="21" t="s">
        <v>276</v>
      </c>
      <c r="I74" s="21" t="s">
        <v>60</v>
      </c>
      <c r="J74" s="21" t="s">
        <v>257</v>
      </c>
      <c r="K74" s="21">
        <v>88.5</v>
      </c>
      <c r="L74" s="34">
        <v>0.9012</v>
      </c>
      <c r="M74" s="34">
        <v>0.87570000000000003</v>
      </c>
      <c r="N74" s="34">
        <v>0.88829999999999998</v>
      </c>
      <c r="O74" s="34">
        <v>0.86829999999999996</v>
      </c>
      <c r="P74" s="34">
        <v>0.89510000000000001</v>
      </c>
      <c r="Q74" s="34">
        <v>0.88149999999999995</v>
      </c>
      <c r="R74" s="21" t="s">
        <v>349</v>
      </c>
    </row>
    <row r="75" spans="1:19" x14ac:dyDescent="0.4">
      <c r="K75" s="21">
        <v>88.2</v>
      </c>
      <c r="L75" s="34">
        <v>0.89600000000000002</v>
      </c>
      <c r="M75" s="34">
        <v>0.87570000000000003</v>
      </c>
      <c r="N75" s="34">
        <v>0.88570000000000004</v>
      </c>
      <c r="O75" s="34">
        <v>0.86750000000000005</v>
      </c>
      <c r="P75" s="34">
        <v>0.88890000000000002</v>
      </c>
      <c r="Q75" s="34">
        <v>0.878</v>
      </c>
      <c r="R75" s="21" t="s">
        <v>350</v>
      </c>
    </row>
    <row r="76" spans="1:19" x14ac:dyDescent="0.4">
      <c r="A76" s="21" t="s">
        <v>357</v>
      </c>
      <c r="B76" s="21" t="s">
        <v>502</v>
      </c>
      <c r="C76" s="21" t="s">
        <v>275</v>
      </c>
      <c r="D76" s="21">
        <v>256</v>
      </c>
      <c r="E76" s="21" t="s">
        <v>100</v>
      </c>
      <c r="F76" s="21">
        <v>90</v>
      </c>
      <c r="G76" s="21" t="b">
        <v>0</v>
      </c>
      <c r="H76" s="21" t="s">
        <v>276</v>
      </c>
      <c r="I76" s="21" t="s">
        <v>60</v>
      </c>
      <c r="J76" s="21" t="s">
        <v>257</v>
      </c>
      <c r="K76" s="21">
        <v>88.79</v>
      </c>
      <c r="L76" s="34">
        <v>0.87980000000000003</v>
      </c>
      <c r="M76" s="34">
        <v>0.90959999999999996</v>
      </c>
      <c r="N76" s="34">
        <v>0.89439999999999997</v>
      </c>
      <c r="O76" s="34">
        <v>0.89739999999999998</v>
      </c>
      <c r="P76" s="34">
        <v>0.86419999999999997</v>
      </c>
      <c r="Q76" s="34">
        <v>0.88049999999999995</v>
      </c>
      <c r="R76" s="21" t="s">
        <v>358</v>
      </c>
    </row>
    <row r="77" spans="1:19" x14ac:dyDescent="0.4">
      <c r="K77" s="21">
        <v>89.09</v>
      </c>
      <c r="L77" s="34">
        <v>0.90229999999999999</v>
      </c>
      <c r="M77" s="34">
        <v>0.88700000000000001</v>
      </c>
      <c r="N77" s="34">
        <v>0.89459999999999995</v>
      </c>
      <c r="O77" s="34">
        <v>0.87880000000000003</v>
      </c>
      <c r="P77" s="34">
        <v>0.89510000000000001</v>
      </c>
      <c r="Q77" s="34">
        <v>0.88690000000000002</v>
      </c>
      <c r="R77" s="21" t="s">
        <v>359</v>
      </c>
    </row>
    <row r="78" spans="1:19" x14ac:dyDescent="0.4">
      <c r="R78" s="21" t="s">
        <v>393</v>
      </c>
    </row>
    <row r="79" spans="1:19" x14ac:dyDescent="0.4">
      <c r="R79" s="21" t="s">
        <v>394</v>
      </c>
    </row>
  </sheetData>
  <phoneticPr fontId="2" type="noConversion"/>
  <conditionalFormatting sqref="K1:K1048576">
    <cfRule type="colorScale" priority="1">
      <colorScale>
        <cfvo type="min"/>
        <cfvo type="percentile" val="50"/>
        <cfvo type="max"/>
        <color rgb="FFFFFF00"/>
        <color rgb="FFFFEB84"/>
        <color rgb="FFFF0000"/>
      </colorScale>
    </cfRule>
  </conditionalFormatting>
  <conditionalFormatting sqref="N1:N1048576">
    <cfRule type="colorScale" priority="2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A507-0655-41FB-A354-688C9E608ED4}">
  <dimension ref="A3:W11"/>
  <sheetViews>
    <sheetView workbookViewId="0">
      <selection activeCell="C8" sqref="C8"/>
    </sheetView>
  </sheetViews>
  <sheetFormatPr defaultRowHeight="17.399999999999999" x14ac:dyDescent="0.4"/>
  <cols>
    <col min="1" max="1" width="19.59765625" style="40" customWidth="1"/>
    <col min="2" max="3" width="14.296875" style="40" customWidth="1"/>
    <col min="4" max="4" width="11.5" style="40" customWidth="1"/>
    <col min="5" max="5" width="19.296875" style="40" customWidth="1"/>
    <col min="6" max="6" width="8.3984375" style="40" customWidth="1"/>
    <col min="7" max="7" width="14.296875" style="40" customWidth="1"/>
    <col min="8" max="8" width="16.59765625" style="40" customWidth="1"/>
    <col min="9" max="9" width="17.296875" style="40" customWidth="1"/>
    <col min="10" max="10" width="16.59765625" style="40" customWidth="1"/>
    <col min="11" max="18" width="17.796875" style="40" customWidth="1"/>
    <col min="19" max="16384" width="8.796875" style="40"/>
  </cols>
  <sheetData>
    <row r="3" spans="1:23" x14ac:dyDescent="0.4">
      <c r="A3" s="39" t="s">
        <v>63</v>
      </c>
      <c r="B3" s="39" t="s">
        <v>24</v>
      </c>
      <c r="C3" s="39" t="s">
        <v>62</v>
      </c>
      <c r="D3" s="39" t="s">
        <v>61</v>
      </c>
      <c r="E3" s="39" t="s">
        <v>99</v>
      </c>
      <c r="F3" s="39" t="s">
        <v>12</v>
      </c>
      <c r="G3" s="39" t="s">
        <v>54</v>
      </c>
      <c r="H3" s="39" t="s">
        <v>55</v>
      </c>
      <c r="I3" s="39" t="s">
        <v>58</v>
      </c>
      <c r="J3" s="39" t="s">
        <v>363</v>
      </c>
      <c r="K3" s="39" t="s">
        <v>254</v>
      </c>
      <c r="L3" s="39" t="s">
        <v>13</v>
      </c>
      <c r="M3" s="39" t="s">
        <v>256</v>
      </c>
      <c r="N3" s="39" t="s">
        <v>257</v>
      </c>
      <c r="O3" s="39" t="s">
        <v>258</v>
      </c>
      <c r="P3" s="39" t="s">
        <v>259</v>
      </c>
      <c r="Q3" s="39" t="s">
        <v>260</v>
      </c>
      <c r="R3" s="39" t="s">
        <v>262</v>
      </c>
    </row>
    <row r="4" spans="1:23" s="41" customFormat="1" x14ac:dyDescent="0.4">
      <c r="A4" s="40" t="s">
        <v>2</v>
      </c>
      <c r="B4" s="36" t="s">
        <v>35</v>
      </c>
      <c r="C4" s="36" t="s">
        <v>53</v>
      </c>
      <c r="D4" s="36">
        <v>256</v>
      </c>
      <c r="E4" s="36" t="s">
        <v>102</v>
      </c>
      <c r="F4" s="36">
        <v>90</v>
      </c>
      <c r="G4" s="36" t="b">
        <v>0</v>
      </c>
      <c r="H4" s="36" t="s">
        <v>56</v>
      </c>
      <c r="I4" s="36" t="s">
        <v>59</v>
      </c>
      <c r="J4" s="36" t="s">
        <v>366</v>
      </c>
      <c r="K4" s="40">
        <v>90.71</v>
      </c>
      <c r="L4" s="40">
        <v>0.92369999999999997</v>
      </c>
      <c r="M4" s="40">
        <v>0.89829999999999999</v>
      </c>
      <c r="N4" s="40">
        <v>0.91080000000000005</v>
      </c>
      <c r="O4" s="40">
        <v>0.88949999999999996</v>
      </c>
      <c r="P4" s="40">
        <v>0.91690000000000005</v>
      </c>
      <c r="Q4" s="40">
        <v>0.90300000000000002</v>
      </c>
      <c r="R4" s="40" t="s">
        <v>361</v>
      </c>
      <c r="S4" s="40"/>
      <c r="T4" s="40"/>
      <c r="U4" s="40"/>
      <c r="V4" s="40"/>
      <c r="W4" s="40"/>
    </row>
    <row r="5" spans="1:23" s="41" customFormat="1" x14ac:dyDescent="0.4">
      <c r="A5" s="40" t="s">
        <v>3</v>
      </c>
      <c r="B5" s="36" t="s">
        <v>35</v>
      </c>
      <c r="C5" s="36" t="s">
        <v>275</v>
      </c>
      <c r="D5" s="36">
        <v>256</v>
      </c>
      <c r="E5" s="36" t="s">
        <v>102</v>
      </c>
      <c r="F5" s="36">
        <v>90</v>
      </c>
      <c r="G5" s="36" t="b">
        <v>0</v>
      </c>
      <c r="H5" s="36" t="s">
        <v>386</v>
      </c>
      <c r="I5" s="36" t="s">
        <v>59</v>
      </c>
      <c r="J5" s="36" t="s">
        <v>15</v>
      </c>
      <c r="K5" s="40">
        <v>91.98</v>
      </c>
      <c r="L5" s="40">
        <v>0.93689999999999996</v>
      </c>
      <c r="M5" s="40">
        <v>0.90939999999999999</v>
      </c>
      <c r="N5" s="40">
        <v>0.92290000000000005</v>
      </c>
      <c r="O5" s="40">
        <v>0.90180000000000005</v>
      </c>
      <c r="P5" s="40">
        <v>0.93149999999999999</v>
      </c>
      <c r="Q5" s="40">
        <v>0.91639999999999999</v>
      </c>
      <c r="R5" s="40" t="s">
        <v>314</v>
      </c>
      <c r="S5" s="40"/>
      <c r="T5" s="40"/>
      <c r="U5" s="40"/>
      <c r="V5" s="40"/>
      <c r="W5" s="40"/>
    </row>
    <row r="6" spans="1:23" x14ac:dyDescent="0.4">
      <c r="A6" s="36" t="s">
        <v>4</v>
      </c>
      <c r="B6" s="36" t="s">
        <v>35</v>
      </c>
      <c r="C6" s="36" t="s">
        <v>275</v>
      </c>
      <c r="D6" s="36">
        <v>256</v>
      </c>
      <c r="E6" s="36" t="s">
        <v>102</v>
      </c>
      <c r="F6" s="36">
        <v>90</v>
      </c>
      <c r="G6" s="36" t="b">
        <v>0</v>
      </c>
      <c r="H6" s="36" t="s">
        <v>386</v>
      </c>
      <c r="I6" s="36" t="s">
        <v>59</v>
      </c>
      <c r="J6" s="36" t="s">
        <v>15</v>
      </c>
      <c r="K6" s="40">
        <v>92.12</v>
      </c>
      <c r="L6" s="40">
        <v>0.93869999999999998</v>
      </c>
      <c r="M6" s="40">
        <v>0.9103</v>
      </c>
      <c r="N6" s="40">
        <v>0.92430000000000001</v>
      </c>
      <c r="O6" s="40">
        <v>0.90290000000000004</v>
      </c>
      <c r="P6" s="40">
        <v>0.9335</v>
      </c>
      <c r="Q6" s="40">
        <v>0.91790000000000005</v>
      </c>
      <c r="R6" s="40" t="s">
        <v>315</v>
      </c>
    </row>
    <row r="7" spans="1:23" x14ac:dyDescent="0.4">
      <c r="A7" s="36" t="s">
        <v>6</v>
      </c>
      <c r="B7" s="36" t="s">
        <v>35</v>
      </c>
      <c r="C7" s="36" t="s">
        <v>53</v>
      </c>
      <c r="D7" s="36">
        <v>256</v>
      </c>
      <c r="E7" s="36" t="s">
        <v>102</v>
      </c>
      <c r="F7" s="36">
        <v>90</v>
      </c>
      <c r="G7" s="36" t="b">
        <v>0</v>
      </c>
      <c r="H7" s="36" t="s">
        <v>56</v>
      </c>
      <c r="I7" s="36" t="s">
        <v>59</v>
      </c>
      <c r="J7" s="36" t="s">
        <v>15</v>
      </c>
    </row>
    <row r="8" spans="1:23" x14ac:dyDescent="0.4">
      <c r="A8" s="36" t="s">
        <v>295</v>
      </c>
      <c r="B8" s="36" t="s">
        <v>35</v>
      </c>
      <c r="C8" s="36" t="s">
        <v>53</v>
      </c>
      <c r="D8" s="36">
        <v>256</v>
      </c>
      <c r="E8" s="40" t="s">
        <v>100</v>
      </c>
      <c r="F8" s="40">
        <v>90</v>
      </c>
      <c r="G8" s="40" t="b">
        <v>0</v>
      </c>
      <c r="H8" s="40" t="s">
        <v>276</v>
      </c>
      <c r="I8" s="40" t="s">
        <v>60</v>
      </c>
      <c r="J8" s="36" t="s">
        <v>15</v>
      </c>
    </row>
    <row r="9" spans="1:23" x14ac:dyDescent="0.4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23" s="42" customFormat="1" x14ac:dyDescent="0.4">
      <c r="K10" s="36"/>
      <c r="L10" s="36"/>
      <c r="M10" s="36"/>
      <c r="N10" s="36"/>
      <c r="O10" s="36"/>
      <c r="P10" s="36"/>
      <c r="Q10" s="36"/>
      <c r="R10" s="36"/>
      <c r="S10" s="36"/>
    </row>
    <row r="11" spans="1:23" x14ac:dyDescent="0.4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</row>
  </sheetData>
  <phoneticPr fontId="2" type="noConversion"/>
  <conditionalFormatting sqref="N1:N1048576">
    <cfRule type="colorScale" priority="1">
      <colorScale>
        <cfvo type="min"/>
        <cfvo type="percentile" val="50"/>
        <cfvo type="max"/>
        <color rgb="FFFFFF00"/>
        <color rgb="FFFFEB84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B1BB-B301-4653-A064-1D07042E8051}">
  <dimension ref="A1:AB426"/>
  <sheetViews>
    <sheetView topLeftCell="E1" zoomScale="70" zoomScaleNormal="70" workbookViewId="0">
      <pane ySplit="3" topLeftCell="A151" activePane="bottomLeft" state="frozen"/>
      <selection pane="bottomLeft" activeCell="T169" sqref="T169"/>
    </sheetView>
  </sheetViews>
  <sheetFormatPr defaultRowHeight="17.399999999999999" x14ac:dyDescent="0.4"/>
  <cols>
    <col min="1" max="1" width="114.3984375" style="21" customWidth="1"/>
    <col min="2" max="2" width="12.19921875" style="21" bestFit="1" customWidth="1"/>
    <col min="3" max="3" width="49" style="21" bestFit="1" customWidth="1"/>
    <col min="4" max="4" width="10.69921875" style="21" bestFit="1" customWidth="1"/>
    <col min="5" max="5" width="54.69921875" style="21" bestFit="1" customWidth="1"/>
    <col min="6" max="6" width="7" style="21" bestFit="1" customWidth="1"/>
    <col min="7" max="7" width="11.796875" style="21" bestFit="1" customWidth="1"/>
    <col min="8" max="8" width="16.5" style="21" bestFit="1" customWidth="1"/>
    <col min="9" max="9" width="25.796875" style="21" bestFit="1" customWidth="1"/>
    <col min="10" max="10" width="20.69921875" style="21" bestFit="1" customWidth="1"/>
    <col min="11" max="11" width="24.09765625" style="21" bestFit="1" customWidth="1"/>
    <col min="12" max="12" width="20.69921875" style="21" customWidth="1"/>
    <col min="13" max="13" width="23.19921875" style="57" customWidth="1"/>
    <col min="14" max="14" width="15.69921875" style="55" hidden="1" customWidth="1"/>
    <col min="15" max="15" width="13" style="55" hidden="1" customWidth="1"/>
    <col min="16" max="16" width="18.59765625" style="55" customWidth="1"/>
    <col min="17" max="19" width="18.59765625" style="55" hidden="1" customWidth="1"/>
    <col min="20" max="26" width="8.796875" style="21"/>
    <col min="27" max="27" width="13.59765625" style="21" customWidth="1"/>
    <col min="28" max="28" width="91.796875" style="21" customWidth="1"/>
    <col min="29" max="16384" width="8.796875" style="21"/>
  </cols>
  <sheetData>
    <row r="1" spans="1:28" x14ac:dyDescent="0.4">
      <c r="A1" s="21" t="s">
        <v>324</v>
      </c>
      <c r="AB1" s="21" t="str">
        <f t="shared" ref="AB1:AB64" si="0">A1</f>
        <v>weight_decay: adamW의 억제기, 물론 sgd에서도 사용하긴 하지만 그건 논문에서 지정한 0.0001이 있으므로 수정 안 함</v>
      </c>
    </row>
    <row r="2" spans="1:28" ht="40.200000000000003" customHeight="1" x14ac:dyDescent="0.4">
      <c r="A2" s="21" t="s">
        <v>597</v>
      </c>
      <c r="AB2" s="21" t="str">
        <f t="shared" si="0"/>
        <v>Ours 초기값: adamaWweight_decay 0.01, drop 0.01, feat2, ps56, res_attn false, layers2, patch1, ff_ratio2, lr0.001, PEtrue, eta_min: 0.000001, efficientnet_b0 feat2, featured_patch_dim 24, emb_dim 24, decoderlayers2, Tmax90, ffratio 2</v>
      </c>
    </row>
    <row r="3" spans="1:28" s="20" customFormat="1" ht="18" thickBot="1" x14ac:dyDescent="0.45">
      <c r="A3" s="52" t="s">
        <v>63</v>
      </c>
      <c r="B3" s="52" t="s">
        <v>24</v>
      </c>
      <c r="C3" s="52" t="s">
        <v>62</v>
      </c>
      <c r="D3" s="52" t="s">
        <v>61</v>
      </c>
      <c r="E3" s="52" t="s">
        <v>99</v>
      </c>
      <c r="F3" s="52" t="s">
        <v>12</v>
      </c>
      <c r="G3" s="52" t="s">
        <v>54</v>
      </c>
      <c r="H3" s="52" t="s">
        <v>55</v>
      </c>
      <c r="I3" s="52" t="s">
        <v>58</v>
      </c>
      <c r="J3" s="52" t="s">
        <v>364</v>
      </c>
      <c r="K3" s="52" t="s">
        <v>496</v>
      </c>
      <c r="L3" s="52" t="s">
        <v>527</v>
      </c>
      <c r="M3" s="61" t="s">
        <v>495</v>
      </c>
      <c r="N3" s="59" t="s">
        <v>255</v>
      </c>
      <c r="O3" s="59" t="s">
        <v>256</v>
      </c>
      <c r="P3" s="59" t="s">
        <v>257</v>
      </c>
      <c r="Q3" s="59" t="s">
        <v>258</v>
      </c>
      <c r="R3" s="59" t="s">
        <v>259</v>
      </c>
      <c r="S3" s="59" t="s">
        <v>260</v>
      </c>
      <c r="T3" s="52" t="s">
        <v>262</v>
      </c>
      <c r="AB3" s="21" t="str">
        <f t="shared" si="0"/>
        <v>Model</v>
      </c>
    </row>
    <row r="4" spans="1:28" s="51" customFormat="1" ht="18" thickTop="1" x14ac:dyDescent="0.4">
      <c r="A4" s="50" t="s">
        <v>65</v>
      </c>
      <c r="B4" s="50" t="s">
        <v>35</v>
      </c>
      <c r="C4" s="50" t="s">
        <v>53</v>
      </c>
      <c r="D4" s="50">
        <v>256</v>
      </c>
      <c r="E4" s="50" t="s">
        <v>103</v>
      </c>
      <c r="F4" s="50">
        <v>90</v>
      </c>
      <c r="G4" s="50" t="b">
        <v>0</v>
      </c>
      <c r="H4" s="50" t="s">
        <v>56</v>
      </c>
      <c r="I4" s="50" t="s">
        <v>472</v>
      </c>
      <c r="J4" s="50" t="s">
        <v>365</v>
      </c>
      <c r="K4" s="50"/>
      <c r="L4" s="50"/>
      <c r="M4" s="58">
        <v>86.14</v>
      </c>
      <c r="N4" s="56">
        <v>0.86519999999999997</v>
      </c>
      <c r="O4" s="56">
        <v>0.87009999999999998</v>
      </c>
      <c r="P4" s="56">
        <v>0.86760000000000004</v>
      </c>
      <c r="Q4" s="56">
        <v>0.85709999999999997</v>
      </c>
      <c r="R4" s="56">
        <v>0.85189999999999999</v>
      </c>
      <c r="S4" s="56">
        <v>0.85450000000000004</v>
      </c>
      <c r="T4" s="51" t="s">
        <v>333</v>
      </c>
      <c r="AB4" s="21" t="str">
        <f t="shared" si="0"/>
        <v>Xie2019</v>
      </c>
    </row>
    <row r="5" spans="1:28" x14ac:dyDescent="0.4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7">
        <v>82.3</v>
      </c>
      <c r="N5" s="55">
        <v>0.82320000000000004</v>
      </c>
      <c r="O5" s="55">
        <v>0.84179999999999999</v>
      </c>
      <c r="P5" s="55">
        <v>0.83240000000000003</v>
      </c>
      <c r="Q5" s="55">
        <v>0.82279999999999998</v>
      </c>
      <c r="R5" s="55">
        <v>0.80249999999999999</v>
      </c>
      <c r="S5" s="55">
        <v>0.8125</v>
      </c>
      <c r="T5" s="21" t="s">
        <v>395</v>
      </c>
      <c r="AB5" s="21">
        <f t="shared" si="0"/>
        <v>0</v>
      </c>
    </row>
    <row r="6" spans="1:28" x14ac:dyDescent="0.4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57">
        <v>83.48</v>
      </c>
      <c r="N6" s="55">
        <v>0.82699999999999996</v>
      </c>
      <c r="O6" s="55">
        <v>0.86439999999999995</v>
      </c>
      <c r="P6" s="55">
        <v>0.84530000000000005</v>
      </c>
      <c r="Q6" s="55">
        <v>0.84419999999999995</v>
      </c>
      <c r="R6" s="55">
        <v>0.80249999999999999</v>
      </c>
      <c r="S6" s="55">
        <v>0.82279999999999998</v>
      </c>
      <c r="T6" s="21" t="s">
        <v>396</v>
      </c>
      <c r="AB6" s="21">
        <f t="shared" si="0"/>
        <v>0</v>
      </c>
    </row>
    <row r="7" spans="1:28" x14ac:dyDescent="0.4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57">
        <v>75.52</v>
      </c>
      <c r="N7" s="55">
        <v>0.69750000000000001</v>
      </c>
      <c r="O7" s="55">
        <v>0.93789999999999996</v>
      </c>
      <c r="P7" s="55">
        <v>0.8</v>
      </c>
      <c r="Q7" s="55">
        <v>0.8911</v>
      </c>
      <c r="R7" s="55">
        <v>0.55559999999999998</v>
      </c>
      <c r="S7" s="55">
        <v>0.68440000000000001</v>
      </c>
      <c r="T7" s="21" t="s">
        <v>397</v>
      </c>
      <c r="AB7" s="21">
        <f t="shared" si="0"/>
        <v>0</v>
      </c>
    </row>
    <row r="8" spans="1:28" ht="18" thickBot="1" x14ac:dyDescent="0.4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57">
        <v>83.19</v>
      </c>
      <c r="N8" s="55">
        <v>0.81910000000000005</v>
      </c>
      <c r="O8" s="55">
        <v>0.87009999999999998</v>
      </c>
      <c r="P8" s="55">
        <v>0.84379999999999999</v>
      </c>
      <c r="Q8" s="55">
        <v>0.84770000000000001</v>
      </c>
      <c r="R8" s="55">
        <v>0.79010000000000002</v>
      </c>
      <c r="S8" s="55">
        <v>0.81789999999999996</v>
      </c>
      <c r="T8" s="21" t="s">
        <v>398</v>
      </c>
      <c r="AB8" s="21">
        <f t="shared" si="0"/>
        <v>0</v>
      </c>
    </row>
    <row r="9" spans="1:28" s="46" customFormat="1" ht="18" thickTop="1" x14ac:dyDescent="0.4">
      <c r="A9" s="50" t="s">
        <v>3</v>
      </c>
      <c r="B9" s="50" t="s">
        <v>502</v>
      </c>
      <c r="C9" s="50" t="s">
        <v>53</v>
      </c>
      <c r="D9" s="50">
        <v>256</v>
      </c>
      <c r="E9" s="50" t="s">
        <v>102</v>
      </c>
      <c r="F9" s="50">
        <v>90</v>
      </c>
      <c r="G9" s="50" t="b">
        <v>0</v>
      </c>
      <c r="H9" s="50" t="s">
        <v>56</v>
      </c>
      <c r="I9" s="50" t="s">
        <v>471</v>
      </c>
      <c r="J9" s="50" t="s">
        <v>365</v>
      </c>
      <c r="K9" s="50"/>
      <c r="L9" s="50"/>
      <c r="M9" s="47">
        <v>85.84</v>
      </c>
      <c r="N9" s="48">
        <v>0.88619999999999999</v>
      </c>
      <c r="O9" s="48">
        <v>0.83620000000000005</v>
      </c>
      <c r="P9" s="48">
        <v>0.86050000000000004</v>
      </c>
      <c r="Q9" s="48">
        <v>0.83140000000000003</v>
      </c>
      <c r="R9" s="48">
        <v>0.88270000000000004</v>
      </c>
      <c r="S9" s="48">
        <v>0.85629999999999995</v>
      </c>
      <c r="T9" s="46" t="s">
        <v>382</v>
      </c>
      <c r="AB9" s="21" t="str">
        <f t="shared" si="0"/>
        <v>Resnet-18</v>
      </c>
    </row>
    <row r="10" spans="1:28" x14ac:dyDescent="0.4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57">
        <v>86.43</v>
      </c>
      <c r="N10" s="55">
        <v>0.84289999999999998</v>
      </c>
      <c r="O10" s="55">
        <v>0.90959999999999996</v>
      </c>
      <c r="P10" s="55">
        <v>0.875</v>
      </c>
      <c r="Q10" s="55">
        <v>0.89190000000000003</v>
      </c>
      <c r="R10" s="55">
        <v>0.81479999999999997</v>
      </c>
      <c r="S10" s="55">
        <v>0.85160000000000002</v>
      </c>
      <c r="T10" s="21" t="s">
        <v>383</v>
      </c>
      <c r="AB10" s="21">
        <f t="shared" si="0"/>
        <v>0</v>
      </c>
    </row>
    <row r="11" spans="1:28" x14ac:dyDescent="0.4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57">
        <v>86.14</v>
      </c>
      <c r="N11" s="55">
        <v>0.84570000000000001</v>
      </c>
      <c r="O11" s="55">
        <v>0.89829999999999999</v>
      </c>
      <c r="P11" s="55">
        <v>0.87119999999999997</v>
      </c>
      <c r="Q11" s="55">
        <v>0.88080000000000003</v>
      </c>
      <c r="R11" s="55">
        <v>0.82099999999999995</v>
      </c>
      <c r="S11" s="55">
        <v>0.8498</v>
      </c>
      <c r="T11" s="21" t="s">
        <v>385</v>
      </c>
      <c r="AB11" s="21">
        <f t="shared" si="0"/>
        <v>0</v>
      </c>
    </row>
    <row r="12" spans="1:28" x14ac:dyDescent="0.4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57">
        <v>84.37</v>
      </c>
      <c r="N12" s="55">
        <v>0.83330000000000004</v>
      </c>
      <c r="O12" s="55">
        <v>0.87570000000000003</v>
      </c>
      <c r="P12" s="55">
        <v>0.85399999999999998</v>
      </c>
      <c r="Q12" s="55">
        <v>0.85619999999999996</v>
      </c>
      <c r="R12" s="55">
        <v>0.80859999999999999</v>
      </c>
      <c r="S12" s="55">
        <v>0.83169999999999999</v>
      </c>
      <c r="T12" s="21" t="s">
        <v>384</v>
      </c>
      <c r="AB12" s="21">
        <f t="shared" si="0"/>
        <v>0</v>
      </c>
    </row>
    <row r="13" spans="1:28" ht="18" thickBot="1" x14ac:dyDescent="0.4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57">
        <v>87.32</v>
      </c>
      <c r="N13" s="55">
        <v>0.86019999999999996</v>
      </c>
      <c r="O13" s="55">
        <v>0.90400000000000003</v>
      </c>
      <c r="P13" s="55">
        <v>0.88149999999999995</v>
      </c>
      <c r="Q13" s="55">
        <v>0.88890000000000002</v>
      </c>
      <c r="R13" s="55">
        <v>0.83950000000000002</v>
      </c>
      <c r="S13" s="55">
        <v>0.86350000000000005</v>
      </c>
      <c r="T13" s="21" t="s">
        <v>399</v>
      </c>
      <c r="AB13" s="21">
        <f t="shared" si="0"/>
        <v>0</v>
      </c>
    </row>
    <row r="14" spans="1:28" s="46" customFormat="1" ht="18" thickTop="1" x14ac:dyDescent="0.4">
      <c r="A14" s="50" t="s">
        <v>4</v>
      </c>
      <c r="B14" s="50" t="s">
        <v>502</v>
      </c>
      <c r="C14" s="50" t="s">
        <v>53</v>
      </c>
      <c r="D14" s="50">
        <v>256</v>
      </c>
      <c r="E14" s="50" t="s">
        <v>103</v>
      </c>
      <c r="F14" s="50">
        <v>90</v>
      </c>
      <c r="G14" s="50" t="b">
        <v>0</v>
      </c>
      <c r="H14" s="50" t="s">
        <v>56</v>
      </c>
      <c r="I14" s="50" t="s">
        <v>471</v>
      </c>
      <c r="J14" s="50" t="s">
        <v>365</v>
      </c>
      <c r="K14" s="50"/>
      <c r="L14" s="50"/>
      <c r="M14" s="47">
        <v>85.55</v>
      </c>
      <c r="N14" s="48">
        <v>0.82989999999999997</v>
      </c>
      <c r="O14" s="48">
        <v>0.90959999999999996</v>
      </c>
      <c r="P14" s="48">
        <v>0.8679</v>
      </c>
      <c r="Q14" s="48">
        <v>0.88970000000000005</v>
      </c>
      <c r="R14" s="48">
        <v>0.79630000000000001</v>
      </c>
      <c r="S14" s="48">
        <v>0.84040000000000004</v>
      </c>
      <c r="T14" s="46" t="s">
        <v>387</v>
      </c>
      <c r="AB14" s="21" t="str">
        <f t="shared" si="0"/>
        <v>Efficientnet_b0</v>
      </c>
    </row>
    <row r="15" spans="1:28" x14ac:dyDescent="0.4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57">
        <v>85.25</v>
      </c>
      <c r="N15" s="55">
        <v>0.89439999999999997</v>
      </c>
      <c r="O15" s="55">
        <v>0.81359999999999999</v>
      </c>
      <c r="P15" s="55">
        <v>0.85209999999999997</v>
      </c>
      <c r="Q15" s="55">
        <v>0.81459999999999999</v>
      </c>
      <c r="R15" s="55">
        <v>0.89510000000000001</v>
      </c>
      <c r="S15" s="55">
        <v>0.85289999999999999</v>
      </c>
      <c r="T15" s="21" t="s">
        <v>388</v>
      </c>
      <c r="AB15" s="21">
        <f t="shared" si="0"/>
        <v>0</v>
      </c>
    </row>
    <row r="16" spans="1:28" x14ac:dyDescent="0.4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57">
        <v>87.61</v>
      </c>
      <c r="N16" s="55">
        <v>0.86099999999999999</v>
      </c>
      <c r="O16" s="55">
        <v>0.90959999999999996</v>
      </c>
      <c r="P16" s="55">
        <v>0.88460000000000005</v>
      </c>
      <c r="Q16" s="55">
        <v>0.89470000000000005</v>
      </c>
      <c r="R16" s="55">
        <v>0.83950000000000002</v>
      </c>
      <c r="S16" s="55">
        <v>0.86619999999999997</v>
      </c>
      <c r="T16" s="21" t="s">
        <v>389</v>
      </c>
      <c r="AB16" s="21">
        <f t="shared" si="0"/>
        <v>0</v>
      </c>
    </row>
    <row r="17" spans="1:28" x14ac:dyDescent="0.4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57">
        <v>86.43</v>
      </c>
      <c r="N17" s="55">
        <v>0.8579</v>
      </c>
      <c r="O17" s="55">
        <v>0.88700000000000001</v>
      </c>
      <c r="P17" s="55">
        <v>0.87219999999999998</v>
      </c>
      <c r="Q17" s="55">
        <v>0.87180000000000002</v>
      </c>
      <c r="R17" s="55">
        <v>0.83950000000000002</v>
      </c>
      <c r="S17" s="55">
        <v>0.85529999999999995</v>
      </c>
      <c r="T17" s="21" t="s">
        <v>390</v>
      </c>
      <c r="AB17" s="21">
        <f t="shared" si="0"/>
        <v>0</v>
      </c>
    </row>
    <row r="18" spans="1:28" ht="18" thickBot="1" x14ac:dyDescent="0.4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57">
        <v>84.96</v>
      </c>
      <c r="N18" s="55">
        <v>0.82809999999999995</v>
      </c>
      <c r="O18" s="55">
        <v>0.89829999999999999</v>
      </c>
      <c r="P18" s="55">
        <v>0.86180000000000001</v>
      </c>
      <c r="Q18" s="55">
        <v>0.87760000000000005</v>
      </c>
      <c r="R18" s="55">
        <v>0.79630000000000001</v>
      </c>
      <c r="S18" s="55">
        <v>0.83499999999999996</v>
      </c>
      <c r="T18" s="21" t="s">
        <v>400</v>
      </c>
      <c r="AB18" s="21">
        <f t="shared" si="0"/>
        <v>0</v>
      </c>
    </row>
    <row r="19" spans="1:28" s="46" customFormat="1" ht="18" thickTop="1" x14ac:dyDescent="0.4">
      <c r="A19" s="50" t="s">
        <v>6</v>
      </c>
      <c r="B19" s="50" t="s">
        <v>502</v>
      </c>
      <c r="C19" s="50" t="s">
        <v>53</v>
      </c>
      <c r="D19" s="50">
        <v>256</v>
      </c>
      <c r="E19" s="50" t="s">
        <v>103</v>
      </c>
      <c r="F19" s="50">
        <v>90</v>
      </c>
      <c r="G19" s="50" t="b">
        <v>0</v>
      </c>
      <c r="H19" s="50" t="s">
        <v>56</v>
      </c>
      <c r="I19" s="50" t="s">
        <v>471</v>
      </c>
      <c r="J19" s="50" t="s">
        <v>365</v>
      </c>
      <c r="K19" s="50"/>
      <c r="L19" s="50"/>
      <c r="M19" s="47">
        <v>83.19</v>
      </c>
      <c r="N19" s="48">
        <v>0.83709999999999996</v>
      </c>
      <c r="O19" s="48">
        <v>0.84179999999999999</v>
      </c>
      <c r="P19" s="48">
        <v>0.83940000000000003</v>
      </c>
      <c r="Q19" s="48">
        <v>0.82609999999999995</v>
      </c>
      <c r="R19" s="48">
        <v>0.82099999999999995</v>
      </c>
      <c r="S19" s="48">
        <v>0.82350000000000001</v>
      </c>
      <c r="T19" s="46" t="s">
        <v>391</v>
      </c>
      <c r="AB19" s="21" t="str">
        <f t="shared" si="0"/>
        <v>Mobilenet_v4_small</v>
      </c>
    </row>
    <row r="20" spans="1:28" x14ac:dyDescent="0.4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57">
        <v>83.48</v>
      </c>
      <c r="N20" s="55">
        <v>0.82699999999999996</v>
      </c>
      <c r="O20" s="55">
        <v>0.86439999999999995</v>
      </c>
      <c r="P20" s="55">
        <v>0.84530000000000005</v>
      </c>
      <c r="Q20" s="55">
        <v>0.84419999999999995</v>
      </c>
      <c r="R20" s="55">
        <v>0.80249999999999999</v>
      </c>
      <c r="S20" s="55">
        <v>0.82279999999999998</v>
      </c>
      <c r="T20" s="21" t="s">
        <v>392</v>
      </c>
      <c r="AB20" s="21">
        <f t="shared" si="0"/>
        <v>0</v>
      </c>
    </row>
    <row r="21" spans="1:28" x14ac:dyDescent="0.4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57">
        <v>84.07</v>
      </c>
      <c r="N21" s="55">
        <v>0.82889999999999997</v>
      </c>
      <c r="O21" s="55">
        <v>0.87570000000000003</v>
      </c>
      <c r="P21" s="55">
        <v>0.85160000000000002</v>
      </c>
      <c r="Q21" s="55">
        <v>0.85529999999999995</v>
      </c>
      <c r="R21" s="55">
        <v>0.80249999999999999</v>
      </c>
      <c r="S21" s="55">
        <v>0.82799999999999996</v>
      </c>
      <c r="T21" s="21" t="s">
        <v>393</v>
      </c>
      <c r="AB21" s="21">
        <f t="shared" si="0"/>
        <v>0</v>
      </c>
    </row>
    <row r="22" spans="1:28" x14ac:dyDescent="0.4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7">
        <v>83.48</v>
      </c>
      <c r="N22" s="55">
        <v>0.82699999999999996</v>
      </c>
      <c r="O22" s="55">
        <v>0.86439999999999995</v>
      </c>
      <c r="P22" s="55">
        <v>0.84530000000000005</v>
      </c>
      <c r="Q22" s="55">
        <v>0.84419999999999995</v>
      </c>
      <c r="R22" s="55">
        <v>0.80249999999999999</v>
      </c>
      <c r="S22" s="55">
        <v>0.82279999999999998</v>
      </c>
      <c r="T22" s="21" t="s">
        <v>394</v>
      </c>
      <c r="AB22" s="21">
        <f t="shared" si="0"/>
        <v>0</v>
      </c>
    </row>
    <row r="23" spans="1:28" ht="18" thickBot="1" x14ac:dyDescent="0.4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57">
        <v>79.650000000000006</v>
      </c>
      <c r="N23" s="55">
        <v>0.88570000000000004</v>
      </c>
      <c r="O23" s="55">
        <v>0.7006</v>
      </c>
      <c r="P23" s="55">
        <v>0.7823</v>
      </c>
      <c r="Q23" s="55">
        <v>0.73370000000000002</v>
      </c>
      <c r="R23" s="55">
        <v>0.9012</v>
      </c>
      <c r="S23" s="55">
        <v>0.80889999999999995</v>
      </c>
      <c r="T23" s="21" t="s">
        <v>401</v>
      </c>
      <c r="AB23" s="21">
        <f t="shared" si="0"/>
        <v>0</v>
      </c>
    </row>
    <row r="24" spans="1:28" s="46" customFormat="1" ht="18" thickTop="1" x14ac:dyDescent="0.4">
      <c r="A24" s="46" t="s">
        <v>305</v>
      </c>
      <c r="B24" s="46" t="s">
        <v>502</v>
      </c>
      <c r="C24" s="46" t="s">
        <v>275</v>
      </c>
      <c r="D24" s="46">
        <v>256</v>
      </c>
      <c r="E24" s="46" t="s">
        <v>100</v>
      </c>
      <c r="F24" s="46">
        <v>90</v>
      </c>
      <c r="G24" s="46" t="b">
        <v>0</v>
      </c>
      <c r="H24" s="46" t="s">
        <v>276</v>
      </c>
      <c r="I24" s="46" t="s">
        <v>60</v>
      </c>
      <c r="J24" s="46" t="s">
        <v>366</v>
      </c>
      <c r="K24" s="46">
        <v>91.33</v>
      </c>
      <c r="M24" s="47">
        <v>88.5</v>
      </c>
      <c r="N24" s="48">
        <v>0.89200000000000002</v>
      </c>
      <c r="O24" s="48">
        <v>0.88700000000000001</v>
      </c>
      <c r="P24" s="48">
        <v>0.88949999999999996</v>
      </c>
      <c r="Q24" s="48">
        <v>0.87729999999999997</v>
      </c>
      <c r="R24" s="48">
        <v>0.88270000000000004</v>
      </c>
      <c r="S24" s="48">
        <v>0.88</v>
      </c>
      <c r="T24" s="46" t="s">
        <v>371</v>
      </c>
      <c r="AB24" s="21" t="str">
        <f t="shared" si="0"/>
        <v>Ours (weight_decay 0.0, ps112, drop0.1)</v>
      </c>
    </row>
    <row r="25" spans="1:28" x14ac:dyDescent="0.4">
      <c r="K25" s="21">
        <v>90.94</v>
      </c>
      <c r="M25" s="57">
        <v>87.91</v>
      </c>
      <c r="N25" s="55">
        <v>0.89080000000000004</v>
      </c>
      <c r="O25" s="55">
        <v>0.87570000000000003</v>
      </c>
      <c r="P25" s="55">
        <v>0.88319999999999999</v>
      </c>
      <c r="Q25" s="55">
        <v>0.86670000000000003</v>
      </c>
      <c r="R25" s="55">
        <v>0.88270000000000004</v>
      </c>
      <c r="S25" s="55">
        <v>0.87460000000000004</v>
      </c>
      <c r="T25" s="21" t="s">
        <v>372</v>
      </c>
      <c r="AB25" s="21">
        <f t="shared" si="0"/>
        <v>0</v>
      </c>
    </row>
    <row r="26" spans="1:28" x14ac:dyDescent="0.4">
      <c r="K26" s="21">
        <v>90.62</v>
      </c>
      <c r="M26" s="57">
        <v>87.91</v>
      </c>
      <c r="N26" s="55">
        <v>0.88200000000000001</v>
      </c>
      <c r="O26" s="55">
        <v>0.88700000000000001</v>
      </c>
      <c r="P26" s="55">
        <v>0.88449999999999995</v>
      </c>
      <c r="Q26" s="55">
        <v>0.87580000000000002</v>
      </c>
      <c r="R26" s="55">
        <v>0.87039999999999995</v>
      </c>
      <c r="S26" s="55">
        <v>0.87309999999999999</v>
      </c>
      <c r="T26" s="21" t="s">
        <v>373</v>
      </c>
      <c r="AB26" s="21">
        <f t="shared" si="0"/>
        <v>0</v>
      </c>
    </row>
    <row r="27" spans="1:28" x14ac:dyDescent="0.4">
      <c r="K27" s="21">
        <v>91.17</v>
      </c>
      <c r="M27" s="57">
        <v>88.79</v>
      </c>
      <c r="N27" s="55">
        <v>0.90639999999999998</v>
      </c>
      <c r="O27" s="55">
        <v>0.87570000000000003</v>
      </c>
      <c r="P27" s="55">
        <v>0.89080000000000004</v>
      </c>
      <c r="Q27" s="55">
        <v>0.86899999999999999</v>
      </c>
      <c r="R27" s="55">
        <v>0.9012</v>
      </c>
      <c r="S27" s="55">
        <v>0.88480000000000003</v>
      </c>
      <c r="T27" s="21" t="s">
        <v>374</v>
      </c>
      <c r="AB27" s="21">
        <f t="shared" si="0"/>
        <v>0</v>
      </c>
    </row>
    <row r="28" spans="1:28" ht="18" thickBot="1" x14ac:dyDescent="0.45">
      <c r="K28" s="21">
        <v>90.94</v>
      </c>
      <c r="M28" s="57">
        <v>88.5</v>
      </c>
      <c r="N28" s="55">
        <v>0.87909999999999999</v>
      </c>
      <c r="O28" s="55">
        <v>0.90400000000000003</v>
      </c>
      <c r="P28" s="55">
        <v>0.89139999999999997</v>
      </c>
      <c r="Q28" s="55">
        <v>0.89170000000000005</v>
      </c>
      <c r="R28" s="55">
        <v>0.86419999999999997</v>
      </c>
      <c r="S28" s="55">
        <v>0.87770000000000004</v>
      </c>
      <c r="T28" s="21" t="s">
        <v>461</v>
      </c>
      <c r="AB28" s="21">
        <f t="shared" si="0"/>
        <v>0</v>
      </c>
    </row>
    <row r="29" spans="1:28" s="46" customFormat="1" ht="18" thickTop="1" x14ac:dyDescent="0.4">
      <c r="A29" s="46" t="s">
        <v>338</v>
      </c>
      <c r="B29" s="46" t="s">
        <v>502</v>
      </c>
      <c r="C29" s="46" t="s">
        <v>275</v>
      </c>
      <c r="D29" s="46">
        <v>256</v>
      </c>
      <c r="E29" s="46" t="s">
        <v>100</v>
      </c>
      <c r="F29" s="46">
        <v>90</v>
      </c>
      <c r="G29" s="46" t="b">
        <v>0</v>
      </c>
      <c r="H29" s="46" t="s">
        <v>276</v>
      </c>
      <c r="I29" s="46" t="s">
        <v>60</v>
      </c>
      <c r="J29" s="46" t="s">
        <v>366</v>
      </c>
      <c r="K29" s="46">
        <v>90.7</v>
      </c>
      <c r="M29" s="47">
        <v>87.02</v>
      </c>
      <c r="N29" s="48">
        <v>0.84099999999999997</v>
      </c>
      <c r="O29" s="48">
        <v>0.92659999999999998</v>
      </c>
      <c r="P29" s="48">
        <v>0.88170000000000004</v>
      </c>
      <c r="Q29" s="48">
        <v>0.90969999999999995</v>
      </c>
      <c r="R29" s="48">
        <v>0.80859999999999999</v>
      </c>
      <c r="S29" s="48">
        <v>0.85619999999999996</v>
      </c>
      <c r="T29" s="46" t="s">
        <v>367</v>
      </c>
      <c r="AB29" s="21" t="str">
        <f t="shared" si="0"/>
        <v>Ours (weight_decay 0.0, ps112, drop0.1, res_attn)</v>
      </c>
    </row>
    <row r="30" spans="1:28" x14ac:dyDescent="0.4">
      <c r="K30" s="21">
        <v>91.09</v>
      </c>
      <c r="M30" s="57">
        <v>88.2</v>
      </c>
      <c r="N30" s="55">
        <v>0.86629999999999996</v>
      </c>
      <c r="O30" s="55">
        <v>0.9153</v>
      </c>
      <c r="P30" s="55">
        <v>0.8901</v>
      </c>
      <c r="Q30" s="55">
        <v>0.90129999999999999</v>
      </c>
      <c r="R30" s="55">
        <v>0.84570000000000001</v>
      </c>
      <c r="S30" s="55">
        <v>0.87260000000000004</v>
      </c>
      <c r="T30" s="21" t="s">
        <v>368</v>
      </c>
      <c r="AB30" s="21">
        <f t="shared" si="0"/>
        <v>0</v>
      </c>
    </row>
    <row r="31" spans="1:28" x14ac:dyDescent="0.4">
      <c r="K31" s="21">
        <v>91.02</v>
      </c>
      <c r="M31" s="57">
        <v>87.91</v>
      </c>
      <c r="N31" s="55">
        <v>0.87360000000000004</v>
      </c>
      <c r="O31" s="55">
        <v>0.89829999999999999</v>
      </c>
      <c r="P31" s="55">
        <v>0.88580000000000003</v>
      </c>
      <c r="Q31" s="55">
        <v>0.88539999999999996</v>
      </c>
      <c r="R31" s="55">
        <v>0.85799999999999998</v>
      </c>
      <c r="S31" s="55">
        <v>0.87150000000000005</v>
      </c>
      <c r="T31" s="21" t="s">
        <v>369</v>
      </c>
      <c r="AB31" s="21">
        <f t="shared" si="0"/>
        <v>0</v>
      </c>
    </row>
    <row r="32" spans="1:28" x14ac:dyDescent="0.4">
      <c r="K32" s="21">
        <v>91.17</v>
      </c>
      <c r="M32" s="57">
        <v>87.02</v>
      </c>
      <c r="N32" s="55">
        <v>0.84460000000000002</v>
      </c>
      <c r="O32" s="55">
        <v>0.92090000000000005</v>
      </c>
      <c r="P32" s="55">
        <v>0.88109999999999999</v>
      </c>
      <c r="Q32" s="55">
        <v>0.90410000000000001</v>
      </c>
      <c r="R32" s="55">
        <v>0.81479999999999997</v>
      </c>
      <c r="S32" s="55">
        <v>0.85709999999999997</v>
      </c>
      <c r="T32" s="21" t="s">
        <v>370</v>
      </c>
      <c r="AB32" s="21">
        <f t="shared" si="0"/>
        <v>0</v>
      </c>
    </row>
    <row r="33" spans="1:28" ht="18" thickBot="1" x14ac:dyDescent="0.45">
      <c r="K33" s="21">
        <v>90.86</v>
      </c>
      <c r="M33" s="57">
        <v>89.09</v>
      </c>
      <c r="N33" s="55">
        <v>0.90229999999999999</v>
      </c>
      <c r="O33" s="55">
        <v>0.88700000000000001</v>
      </c>
      <c r="P33" s="55">
        <v>0.89459999999999995</v>
      </c>
      <c r="Q33" s="55">
        <v>0.87880000000000003</v>
      </c>
      <c r="R33" s="55">
        <v>0.89510000000000001</v>
      </c>
      <c r="S33" s="55">
        <v>0.88690000000000002</v>
      </c>
      <c r="T33" s="21" t="s">
        <v>418</v>
      </c>
      <c r="AB33" s="21">
        <f t="shared" si="0"/>
        <v>0</v>
      </c>
    </row>
    <row r="34" spans="1:28" s="46" customFormat="1" ht="18" thickTop="1" x14ac:dyDescent="0.4">
      <c r="A34" s="46" t="s">
        <v>379</v>
      </c>
      <c r="B34" s="46" t="s">
        <v>502</v>
      </c>
      <c r="C34" s="46" t="s">
        <v>275</v>
      </c>
      <c r="D34" s="46">
        <v>256</v>
      </c>
      <c r="E34" s="46" t="s">
        <v>100</v>
      </c>
      <c r="F34" s="46">
        <v>90</v>
      </c>
      <c r="G34" s="46" t="b">
        <v>0</v>
      </c>
      <c r="H34" s="46" t="s">
        <v>276</v>
      </c>
      <c r="I34" s="46" t="s">
        <v>60</v>
      </c>
      <c r="J34" s="46" t="s">
        <v>365</v>
      </c>
      <c r="K34" s="46">
        <v>91.02</v>
      </c>
      <c r="M34" s="47">
        <v>88.5</v>
      </c>
      <c r="N34" s="48">
        <v>0.87909999999999999</v>
      </c>
      <c r="O34" s="48">
        <v>0.90400000000000003</v>
      </c>
      <c r="P34" s="48">
        <v>0.89139999999999997</v>
      </c>
      <c r="Q34" s="48">
        <v>0.89170000000000005</v>
      </c>
      <c r="R34" s="48">
        <v>0.86419999999999997</v>
      </c>
      <c r="S34" s="48">
        <v>0.87770000000000004</v>
      </c>
      <c r="T34" s="46" t="s">
        <v>380</v>
      </c>
      <c r="AB34" s="21" t="str">
        <f t="shared" si="0"/>
        <v>Ours (weight_decay 0.01, ps112, drop0.1)</v>
      </c>
    </row>
    <row r="35" spans="1:28" x14ac:dyDescent="0.4">
      <c r="K35" s="21">
        <v>91.25</v>
      </c>
      <c r="M35" s="57">
        <v>87.91</v>
      </c>
      <c r="N35" s="55">
        <v>0.87360000000000004</v>
      </c>
      <c r="O35" s="55">
        <v>0.89829999999999999</v>
      </c>
      <c r="P35" s="55">
        <v>0.88580000000000003</v>
      </c>
      <c r="Q35" s="55">
        <v>0.88539999999999996</v>
      </c>
      <c r="R35" s="55">
        <v>0.85799999999999998</v>
      </c>
      <c r="S35" s="55">
        <v>0.87150000000000005</v>
      </c>
      <c r="T35" s="21" t="s">
        <v>381</v>
      </c>
      <c r="AB35" s="21">
        <f t="shared" si="0"/>
        <v>0</v>
      </c>
    </row>
    <row r="36" spans="1:28" x14ac:dyDescent="0.4">
      <c r="K36" s="21">
        <v>91.02</v>
      </c>
      <c r="M36" s="57">
        <v>88.5</v>
      </c>
      <c r="N36" s="55">
        <v>0.87909999999999999</v>
      </c>
      <c r="O36" s="55">
        <v>0.90400000000000003</v>
      </c>
      <c r="P36" s="55">
        <v>0.89139999999999997</v>
      </c>
      <c r="Q36" s="55">
        <v>0.89170000000000005</v>
      </c>
      <c r="R36" s="55">
        <v>0.86419999999999997</v>
      </c>
      <c r="S36" s="55">
        <v>0.87770000000000004</v>
      </c>
      <c r="T36" s="21" t="s">
        <v>404</v>
      </c>
      <c r="AB36" s="21">
        <f t="shared" si="0"/>
        <v>0</v>
      </c>
    </row>
    <row r="37" spans="1:28" x14ac:dyDescent="0.4">
      <c r="K37" s="21">
        <v>91.33</v>
      </c>
      <c r="M37" s="57">
        <v>88.2</v>
      </c>
      <c r="N37" s="55">
        <v>0.88700000000000001</v>
      </c>
      <c r="O37" s="55">
        <v>0.88700000000000001</v>
      </c>
      <c r="P37" s="55">
        <v>0.88700000000000001</v>
      </c>
      <c r="Q37" s="55">
        <v>0.87649999999999995</v>
      </c>
      <c r="R37" s="55">
        <v>0.87649999999999995</v>
      </c>
      <c r="S37" s="55">
        <v>0.87649999999999995</v>
      </c>
      <c r="T37" s="21" t="s">
        <v>405</v>
      </c>
      <c r="AB37" s="21">
        <f t="shared" si="0"/>
        <v>0</v>
      </c>
    </row>
    <row r="38" spans="1:28" ht="18" thickBot="1" x14ac:dyDescent="0.45">
      <c r="K38" s="21">
        <v>90.94</v>
      </c>
      <c r="M38" s="57">
        <v>88.5</v>
      </c>
      <c r="N38" s="55">
        <v>0.87909999999999999</v>
      </c>
      <c r="O38" s="55">
        <v>0.90400000000000003</v>
      </c>
      <c r="P38" s="55">
        <v>0.89139999999999997</v>
      </c>
      <c r="Q38" s="55">
        <v>0.89170000000000005</v>
      </c>
      <c r="R38" s="55">
        <v>0.86419999999999997</v>
      </c>
      <c r="S38" s="55">
        <v>0.87770000000000004</v>
      </c>
      <c r="T38" s="21" t="s">
        <v>406</v>
      </c>
      <c r="AB38" s="21">
        <f t="shared" si="0"/>
        <v>0</v>
      </c>
    </row>
    <row r="39" spans="1:28" s="46" customFormat="1" ht="18" thickTop="1" x14ac:dyDescent="0.4">
      <c r="A39" s="46" t="s">
        <v>420</v>
      </c>
      <c r="B39" s="46" t="s">
        <v>502</v>
      </c>
      <c r="C39" s="46" t="s">
        <v>275</v>
      </c>
      <c r="D39" s="46">
        <v>256</v>
      </c>
      <c r="E39" s="46" t="s">
        <v>100</v>
      </c>
      <c r="F39" s="46">
        <v>90</v>
      </c>
      <c r="G39" s="46" t="b">
        <v>0</v>
      </c>
      <c r="H39" s="46" t="s">
        <v>276</v>
      </c>
      <c r="I39" s="46" t="s">
        <v>60</v>
      </c>
      <c r="J39" s="46" t="s">
        <v>365</v>
      </c>
      <c r="K39" s="46">
        <v>90.86</v>
      </c>
      <c r="M39" s="47">
        <v>87.02</v>
      </c>
      <c r="N39" s="48">
        <v>0.84819999999999995</v>
      </c>
      <c r="O39" s="48">
        <v>0.9153</v>
      </c>
      <c r="P39" s="48">
        <v>0.88039999999999996</v>
      </c>
      <c r="Q39" s="48">
        <v>0.89859999999999995</v>
      </c>
      <c r="R39" s="48">
        <v>0.82099999999999995</v>
      </c>
      <c r="S39" s="48">
        <v>0.85809999999999997</v>
      </c>
      <c r="T39" s="46" t="s">
        <v>427</v>
      </c>
      <c r="AB39" s="21" t="str">
        <f t="shared" si="0"/>
        <v>Ours (weight_decay 0.01, ps112, drop0.1, rest_attn)</v>
      </c>
    </row>
    <row r="40" spans="1:28" x14ac:dyDescent="0.4">
      <c r="K40" s="21">
        <v>90.78</v>
      </c>
      <c r="M40" s="57">
        <v>89.09</v>
      </c>
      <c r="N40" s="55">
        <v>0.89329999999999998</v>
      </c>
      <c r="O40" s="55">
        <v>0.89829999999999999</v>
      </c>
      <c r="P40" s="55">
        <v>0.89580000000000004</v>
      </c>
      <c r="Q40" s="55">
        <v>0.88819999999999999</v>
      </c>
      <c r="R40" s="55">
        <v>0.88270000000000004</v>
      </c>
      <c r="S40" s="55">
        <v>0.88539999999999996</v>
      </c>
      <c r="T40" s="21" t="s">
        <v>428</v>
      </c>
      <c r="AB40" s="21">
        <f t="shared" si="0"/>
        <v>0</v>
      </c>
    </row>
    <row r="41" spans="1:28" x14ac:dyDescent="0.4">
      <c r="K41" s="21">
        <v>91.09</v>
      </c>
      <c r="M41" s="57">
        <v>87.91</v>
      </c>
      <c r="N41" s="55">
        <v>0.86960000000000004</v>
      </c>
      <c r="O41" s="55">
        <v>0.90400000000000003</v>
      </c>
      <c r="P41" s="55">
        <v>0.88639999999999997</v>
      </c>
      <c r="Q41" s="55">
        <v>0.89029999999999998</v>
      </c>
      <c r="R41" s="55">
        <v>0.85189999999999999</v>
      </c>
      <c r="S41" s="55">
        <v>0.87070000000000003</v>
      </c>
      <c r="T41" s="21" t="s">
        <v>431</v>
      </c>
      <c r="AB41" s="21">
        <f t="shared" si="0"/>
        <v>0</v>
      </c>
    </row>
    <row r="42" spans="1:28" x14ac:dyDescent="0.4">
      <c r="K42" s="21">
        <v>91.02</v>
      </c>
      <c r="M42" s="57">
        <v>88.79</v>
      </c>
      <c r="N42" s="55">
        <v>0.87170000000000003</v>
      </c>
      <c r="O42" s="55">
        <v>0.92090000000000005</v>
      </c>
      <c r="P42" s="55">
        <v>0.89559999999999995</v>
      </c>
      <c r="Q42" s="55">
        <v>0.90790000000000004</v>
      </c>
      <c r="R42" s="55">
        <v>0.85189999999999999</v>
      </c>
      <c r="S42" s="55">
        <v>0.879</v>
      </c>
      <c r="T42" s="21" t="s">
        <v>432</v>
      </c>
      <c r="AB42" s="21">
        <f t="shared" si="0"/>
        <v>0</v>
      </c>
    </row>
    <row r="43" spans="1:28" ht="18" thickBot="1" x14ac:dyDescent="0.45">
      <c r="K43" s="21">
        <v>91.09</v>
      </c>
      <c r="M43" s="57">
        <v>88.79</v>
      </c>
      <c r="N43" s="55">
        <v>0.89270000000000005</v>
      </c>
      <c r="O43" s="55">
        <v>0.89270000000000005</v>
      </c>
      <c r="P43" s="55">
        <v>0.89270000000000005</v>
      </c>
      <c r="Q43" s="55">
        <v>0.88270000000000004</v>
      </c>
      <c r="R43" s="55">
        <v>0.88270000000000004</v>
      </c>
      <c r="S43" s="55">
        <v>0.88270000000000004</v>
      </c>
      <c r="T43" s="21" t="s">
        <v>433</v>
      </c>
      <c r="AB43" s="21">
        <f t="shared" si="0"/>
        <v>0</v>
      </c>
    </row>
    <row r="44" spans="1:28" s="46" customFormat="1" ht="18" thickTop="1" x14ac:dyDescent="0.4">
      <c r="A44" s="46" t="s">
        <v>332</v>
      </c>
      <c r="B44" s="46" t="s">
        <v>502</v>
      </c>
      <c r="C44" s="46" t="s">
        <v>275</v>
      </c>
      <c r="D44" s="46">
        <v>256</v>
      </c>
      <c r="E44" s="46" t="s">
        <v>100</v>
      </c>
      <c r="F44" s="46">
        <v>90</v>
      </c>
      <c r="G44" s="46" t="b">
        <v>0</v>
      </c>
      <c r="H44" s="46" t="s">
        <v>276</v>
      </c>
      <c r="I44" s="46" t="s">
        <v>60</v>
      </c>
      <c r="J44" s="46" t="s">
        <v>365</v>
      </c>
      <c r="K44" s="46">
        <v>91.09</v>
      </c>
      <c r="M44" s="47">
        <v>88.2</v>
      </c>
      <c r="N44" s="48">
        <v>0.88270000000000004</v>
      </c>
      <c r="O44" s="48">
        <v>0.89270000000000005</v>
      </c>
      <c r="P44" s="48">
        <v>0.88759999999999994</v>
      </c>
      <c r="Q44" s="48">
        <v>0.88119999999999998</v>
      </c>
      <c r="R44" s="48">
        <v>0.87039999999999995</v>
      </c>
      <c r="S44" s="48">
        <v>0.87580000000000002</v>
      </c>
      <c r="T44" s="46" t="s">
        <v>378</v>
      </c>
      <c r="AB44" s="21" t="str">
        <f t="shared" si="0"/>
        <v>Ours (weight_decay 0.1, ps112, drop0.1)</v>
      </c>
    </row>
    <row r="45" spans="1:28" x14ac:dyDescent="0.4">
      <c r="K45" s="21">
        <v>91.09</v>
      </c>
      <c r="M45" s="57">
        <v>89.09</v>
      </c>
      <c r="N45" s="55">
        <v>0.88039999999999996</v>
      </c>
      <c r="O45" s="55">
        <v>0.9153</v>
      </c>
      <c r="P45" s="55">
        <v>0.89749999999999996</v>
      </c>
      <c r="Q45" s="55">
        <v>0.9032</v>
      </c>
      <c r="R45" s="55">
        <v>0.86419999999999997</v>
      </c>
      <c r="S45" s="55">
        <v>0.88329999999999997</v>
      </c>
      <c r="T45" s="21" t="s">
        <v>415</v>
      </c>
      <c r="AB45" s="21">
        <f t="shared" si="0"/>
        <v>0</v>
      </c>
    </row>
    <row r="46" spans="1:28" x14ac:dyDescent="0.4">
      <c r="K46" s="21">
        <v>91.09</v>
      </c>
      <c r="M46" s="57">
        <v>88.79</v>
      </c>
      <c r="N46" s="55">
        <v>0.90169999999999995</v>
      </c>
      <c r="O46" s="55">
        <v>0.88139999999999996</v>
      </c>
      <c r="P46" s="55">
        <v>0.89139999999999997</v>
      </c>
      <c r="Q46" s="55">
        <v>0.87350000000000005</v>
      </c>
      <c r="R46" s="55">
        <v>0.89510000000000001</v>
      </c>
      <c r="S46" s="55">
        <v>0.8841</v>
      </c>
      <c r="T46" s="21" t="s">
        <v>416</v>
      </c>
      <c r="AB46" s="21">
        <f t="shared" si="0"/>
        <v>0</v>
      </c>
    </row>
    <row r="47" spans="1:28" x14ac:dyDescent="0.4">
      <c r="K47" s="21">
        <v>91.25</v>
      </c>
      <c r="M47" s="57">
        <v>87.91</v>
      </c>
      <c r="N47" s="55">
        <v>0.89529999999999998</v>
      </c>
      <c r="O47" s="55">
        <v>0.87009999999999998</v>
      </c>
      <c r="P47" s="55">
        <v>0.88249999999999995</v>
      </c>
      <c r="Q47" s="55">
        <v>0.86229999999999996</v>
      </c>
      <c r="R47" s="55">
        <v>0.88890000000000002</v>
      </c>
      <c r="S47" s="55">
        <v>0.87539999999999996</v>
      </c>
      <c r="T47" s="21" t="s">
        <v>417</v>
      </c>
      <c r="AB47" s="21">
        <f t="shared" si="0"/>
        <v>0</v>
      </c>
    </row>
    <row r="48" spans="1:28" ht="18" thickBot="1" x14ac:dyDescent="0.45">
      <c r="K48" s="21">
        <v>91.25</v>
      </c>
      <c r="M48" s="57">
        <v>88.79</v>
      </c>
      <c r="N48" s="55">
        <v>0.89710000000000001</v>
      </c>
      <c r="O48" s="55">
        <v>0.88700000000000001</v>
      </c>
      <c r="P48" s="55">
        <v>0.89200000000000002</v>
      </c>
      <c r="Q48" s="55">
        <v>0.878</v>
      </c>
      <c r="R48" s="55">
        <v>0.88890000000000002</v>
      </c>
      <c r="S48" s="55">
        <v>0.88339999999999996</v>
      </c>
      <c r="T48" s="21" t="s">
        <v>419</v>
      </c>
      <c r="AB48" s="21">
        <f t="shared" si="0"/>
        <v>0</v>
      </c>
    </row>
    <row r="49" spans="1:28" s="46" customFormat="1" ht="18" thickTop="1" x14ac:dyDescent="0.4">
      <c r="A49" s="63" t="s">
        <v>421</v>
      </c>
      <c r="B49" s="54" t="s">
        <v>502</v>
      </c>
      <c r="C49" s="54" t="s">
        <v>275</v>
      </c>
      <c r="D49" s="54">
        <v>256</v>
      </c>
      <c r="E49" s="54" t="s">
        <v>100</v>
      </c>
      <c r="F49" s="54">
        <v>90</v>
      </c>
      <c r="G49" s="54" t="b">
        <v>0</v>
      </c>
      <c r="H49" s="54" t="s">
        <v>276</v>
      </c>
      <c r="I49" s="54" t="s">
        <v>60</v>
      </c>
      <c r="J49" s="54" t="s">
        <v>365</v>
      </c>
      <c r="K49" s="46">
        <v>91.17</v>
      </c>
      <c r="L49" s="54"/>
      <c r="M49" s="47">
        <v>88.79</v>
      </c>
      <c r="N49" s="48">
        <v>0.87170000000000003</v>
      </c>
      <c r="O49" s="48">
        <v>0.92090000000000005</v>
      </c>
      <c r="P49" s="48">
        <v>0.89559999999999995</v>
      </c>
      <c r="Q49" s="48">
        <v>0.90790000000000004</v>
      </c>
      <c r="R49" s="48">
        <v>0.85189999999999999</v>
      </c>
      <c r="S49" s="48">
        <v>0.879</v>
      </c>
      <c r="T49" s="46" t="s">
        <v>422</v>
      </c>
      <c r="AB49" s="21" t="str">
        <f t="shared" si="0"/>
        <v>Ours (weight_decay 0.1, ps112, drop0.1, res_attn)</v>
      </c>
    </row>
    <row r="50" spans="1:28" x14ac:dyDescent="0.4">
      <c r="K50" s="21">
        <v>90.86</v>
      </c>
      <c r="M50" s="57">
        <v>88.2</v>
      </c>
      <c r="N50" s="55">
        <v>0.90529999999999999</v>
      </c>
      <c r="O50" s="55">
        <v>0.86439999999999995</v>
      </c>
      <c r="P50" s="55">
        <v>0.88439999999999996</v>
      </c>
      <c r="Q50" s="55">
        <v>0.85880000000000001</v>
      </c>
      <c r="R50" s="55">
        <v>0.9012</v>
      </c>
      <c r="S50" s="55">
        <v>0.87949999999999995</v>
      </c>
      <c r="T50" s="21" t="s">
        <v>423</v>
      </c>
      <c r="AB50" s="21">
        <f t="shared" si="0"/>
        <v>0</v>
      </c>
    </row>
    <row r="51" spans="1:28" x14ac:dyDescent="0.4">
      <c r="K51" s="21">
        <v>91.02</v>
      </c>
      <c r="M51" s="57">
        <v>88.5</v>
      </c>
      <c r="N51" s="55">
        <v>0.87909999999999999</v>
      </c>
      <c r="O51" s="55">
        <v>0.90400000000000003</v>
      </c>
      <c r="P51" s="55">
        <v>0.89139999999999997</v>
      </c>
      <c r="Q51" s="55">
        <v>0.89170000000000005</v>
      </c>
      <c r="R51" s="55">
        <v>0.86419999999999997</v>
      </c>
      <c r="S51" s="55">
        <v>0.87770000000000004</v>
      </c>
      <c r="T51" s="21" t="s">
        <v>424</v>
      </c>
      <c r="AB51" s="21">
        <f t="shared" si="0"/>
        <v>0</v>
      </c>
    </row>
    <row r="52" spans="1:28" x14ac:dyDescent="0.4">
      <c r="K52" s="21">
        <v>91.17</v>
      </c>
      <c r="M52" s="57">
        <v>88.79</v>
      </c>
      <c r="N52" s="55">
        <v>0.89710000000000001</v>
      </c>
      <c r="O52" s="55">
        <v>0.88700000000000001</v>
      </c>
      <c r="P52" s="55">
        <v>0.89200000000000002</v>
      </c>
      <c r="Q52" s="55">
        <v>0.878</v>
      </c>
      <c r="R52" s="55">
        <v>0.88890000000000002</v>
      </c>
      <c r="S52" s="55">
        <v>0.88339999999999996</v>
      </c>
      <c r="T52" s="21" t="s">
        <v>425</v>
      </c>
      <c r="AB52" s="21">
        <f t="shared" si="0"/>
        <v>0</v>
      </c>
    </row>
    <row r="53" spans="1:28" ht="18" thickBot="1" x14ac:dyDescent="0.45">
      <c r="K53" s="21">
        <v>91.02</v>
      </c>
      <c r="M53" s="57">
        <v>89.09</v>
      </c>
      <c r="N53" s="55">
        <v>0.91180000000000005</v>
      </c>
      <c r="O53" s="55">
        <v>0.87570000000000003</v>
      </c>
      <c r="P53" s="55">
        <v>0.89339999999999997</v>
      </c>
      <c r="Q53" s="55">
        <v>0.86980000000000002</v>
      </c>
      <c r="R53" s="55">
        <v>0.90739999999999998</v>
      </c>
      <c r="S53" s="55">
        <v>0.88819999999999999</v>
      </c>
      <c r="T53" s="21" t="s">
        <v>426</v>
      </c>
      <c r="AB53" s="21">
        <f t="shared" si="0"/>
        <v>0</v>
      </c>
    </row>
    <row r="54" spans="1:28" s="46" customFormat="1" ht="18" thickTop="1" x14ac:dyDescent="0.4">
      <c r="A54" s="46" t="s">
        <v>308</v>
      </c>
      <c r="B54" s="46" t="s">
        <v>502</v>
      </c>
      <c r="C54" s="46" t="s">
        <v>275</v>
      </c>
      <c r="D54" s="46">
        <v>256</v>
      </c>
      <c r="E54" s="46" t="s">
        <v>100</v>
      </c>
      <c r="F54" s="46">
        <v>90</v>
      </c>
      <c r="G54" s="46" t="b">
        <v>0</v>
      </c>
      <c r="H54" s="46" t="s">
        <v>276</v>
      </c>
      <c r="I54" s="46" t="s">
        <v>60</v>
      </c>
      <c r="J54" s="46" t="s">
        <v>365</v>
      </c>
      <c r="K54" s="46">
        <v>89.84</v>
      </c>
      <c r="M54" s="47">
        <v>86.73</v>
      </c>
      <c r="N54" s="48">
        <v>0.86260000000000003</v>
      </c>
      <c r="O54" s="48">
        <v>0.88700000000000001</v>
      </c>
      <c r="P54" s="48">
        <v>0.87470000000000003</v>
      </c>
      <c r="Q54" s="48">
        <v>0.87260000000000004</v>
      </c>
      <c r="R54" s="48">
        <v>0.84570000000000001</v>
      </c>
      <c r="S54" s="48">
        <v>0.8589</v>
      </c>
      <c r="T54" s="46" t="s">
        <v>375</v>
      </c>
      <c r="AB54" s="21" t="str">
        <f t="shared" si="0"/>
        <v>Ours (weight_decay 0.0, ps112, drop0.2)</v>
      </c>
    </row>
    <row r="55" spans="1:28" x14ac:dyDescent="0.4">
      <c r="A55" s="21" t="s">
        <v>376</v>
      </c>
      <c r="B55" s="21" t="s">
        <v>502</v>
      </c>
      <c r="C55" s="21" t="s">
        <v>275</v>
      </c>
      <c r="D55" s="21">
        <v>256</v>
      </c>
      <c r="E55" s="21" t="s">
        <v>100</v>
      </c>
      <c r="F55" s="21">
        <v>90</v>
      </c>
      <c r="G55" s="21" t="b">
        <v>0</v>
      </c>
      <c r="H55" s="21" t="s">
        <v>276</v>
      </c>
      <c r="I55" s="21" t="s">
        <v>60</v>
      </c>
      <c r="J55" s="21" t="s">
        <v>365</v>
      </c>
      <c r="K55" s="21">
        <v>89.84</v>
      </c>
      <c r="M55" s="57">
        <v>86.73</v>
      </c>
      <c r="N55" s="55">
        <v>0.87080000000000002</v>
      </c>
      <c r="O55" s="55">
        <v>0.87570000000000003</v>
      </c>
      <c r="P55" s="55">
        <v>0.87319999999999998</v>
      </c>
      <c r="Q55" s="55">
        <v>0.86339999999999995</v>
      </c>
      <c r="R55" s="55">
        <v>0.85799999999999998</v>
      </c>
      <c r="S55" s="55">
        <v>0.86070000000000002</v>
      </c>
      <c r="T55" s="21" t="s">
        <v>377</v>
      </c>
      <c r="AB55" s="21" t="str">
        <f t="shared" si="0"/>
        <v>Ours (weight_decay 0.001, ps112, drop0.2)</v>
      </c>
    </row>
    <row r="56" spans="1:28" x14ac:dyDescent="0.4">
      <c r="A56" s="21" t="s">
        <v>407</v>
      </c>
      <c r="B56" s="21" t="s">
        <v>502</v>
      </c>
      <c r="C56" s="21" t="s">
        <v>275</v>
      </c>
      <c r="D56" s="21">
        <v>256</v>
      </c>
      <c r="E56" s="21" t="s">
        <v>100</v>
      </c>
      <c r="F56" s="21">
        <v>90</v>
      </c>
      <c r="G56" s="21" t="b">
        <v>0</v>
      </c>
      <c r="H56" s="21" t="s">
        <v>276</v>
      </c>
      <c r="I56" s="21" t="s">
        <v>60</v>
      </c>
      <c r="J56" s="21" t="s">
        <v>365</v>
      </c>
      <c r="K56" s="21">
        <v>92.5</v>
      </c>
      <c r="M56" s="57">
        <v>86.43</v>
      </c>
      <c r="N56" s="55">
        <v>0.87860000000000005</v>
      </c>
      <c r="O56" s="55">
        <v>0.85880000000000001</v>
      </c>
      <c r="P56" s="55">
        <v>0.86860000000000004</v>
      </c>
      <c r="Q56" s="55">
        <v>0.84940000000000004</v>
      </c>
      <c r="R56" s="55">
        <v>0.87039999999999995</v>
      </c>
      <c r="S56" s="55">
        <v>0.85980000000000001</v>
      </c>
      <c r="T56" s="21" t="s">
        <v>408</v>
      </c>
      <c r="AB56" s="21" t="str">
        <f t="shared" si="0"/>
        <v>Ours (weight_decay 0.01, ps56, drop0.1)</v>
      </c>
    </row>
    <row r="57" spans="1:28" x14ac:dyDescent="0.4">
      <c r="A57" s="21" t="s">
        <v>379</v>
      </c>
      <c r="B57" s="21" t="s">
        <v>502</v>
      </c>
      <c r="C57" s="21" t="s">
        <v>275</v>
      </c>
      <c r="D57" s="21">
        <v>256</v>
      </c>
      <c r="E57" s="21" t="s">
        <v>103</v>
      </c>
      <c r="F57" s="21">
        <v>90</v>
      </c>
      <c r="G57" s="21" t="b">
        <v>0</v>
      </c>
      <c r="H57" s="21" t="s">
        <v>276</v>
      </c>
      <c r="I57" s="21" t="s">
        <v>60</v>
      </c>
      <c r="J57" s="21" t="s">
        <v>365</v>
      </c>
      <c r="K57" s="21">
        <v>91.41</v>
      </c>
      <c r="M57" s="57">
        <v>87.91</v>
      </c>
      <c r="N57" s="55">
        <v>0.87360000000000004</v>
      </c>
      <c r="O57" s="55">
        <v>0.89829999999999999</v>
      </c>
      <c r="P57" s="55">
        <v>0.88580000000000003</v>
      </c>
      <c r="Q57" s="55">
        <v>0.88539999999999996</v>
      </c>
      <c r="R57" s="55">
        <v>0.85799999999999998</v>
      </c>
      <c r="S57" s="55">
        <v>0.87150000000000005</v>
      </c>
      <c r="T57" s="21" t="s">
        <v>409</v>
      </c>
      <c r="AB57" s="21" t="str">
        <f t="shared" si="0"/>
        <v>Ours (weight_decay 0.01, ps112, drop0.1)</v>
      </c>
    </row>
    <row r="58" spans="1:28" x14ac:dyDescent="0.4">
      <c r="A58" s="21" t="s">
        <v>410</v>
      </c>
      <c r="B58" s="21" t="s">
        <v>502</v>
      </c>
      <c r="C58" s="21" t="s">
        <v>275</v>
      </c>
      <c r="D58" s="21">
        <v>256</v>
      </c>
      <c r="E58" s="21" t="s">
        <v>100</v>
      </c>
      <c r="F58" s="21">
        <v>90</v>
      </c>
      <c r="G58" s="21" t="b">
        <v>0</v>
      </c>
      <c r="H58" s="21" t="s">
        <v>276</v>
      </c>
      <c r="I58" s="21" t="s">
        <v>60</v>
      </c>
      <c r="J58" s="21" t="s">
        <v>365</v>
      </c>
      <c r="K58" s="21">
        <v>89.61</v>
      </c>
      <c r="M58" s="57">
        <v>85.84</v>
      </c>
      <c r="N58" s="55">
        <v>0.87280000000000002</v>
      </c>
      <c r="O58" s="55">
        <v>0.85309999999999997</v>
      </c>
      <c r="P58" s="55">
        <v>0.8629</v>
      </c>
      <c r="Q58" s="55">
        <v>0.84340000000000004</v>
      </c>
      <c r="R58" s="55">
        <v>0.86419999999999997</v>
      </c>
      <c r="S58" s="55">
        <v>0.85370000000000001</v>
      </c>
      <c r="T58" s="21" t="s">
        <v>411</v>
      </c>
      <c r="AB58" s="21" t="str">
        <f t="shared" si="0"/>
        <v>Ours 2 (weight_decay 0.01, ps112, drop0.1)</v>
      </c>
    </row>
    <row r="59" spans="1:28" x14ac:dyDescent="0.4">
      <c r="A59" s="21" t="s">
        <v>413</v>
      </c>
      <c r="B59" s="21" t="s">
        <v>502</v>
      </c>
      <c r="C59" s="21" t="s">
        <v>275</v>
      </c>
      <c r="D59" s="21">
        <v>256</v>
      </c>
      <c r="E59" s="21" t="s">
        <v>100</v>
      </c>
      <c r="F59" s="21">
        <v>90</v>
      </c>
      <c r="G59" s="21" t="b">
        <v>0</v>
      </c>
      <c r="H59" s="21" t="s">
        <v>276</v>
      </c>
      <c r="I59" s="21" t="s">
        <v>60</v>
      </c>
      <c r="J59" s="21" t="s">
        <v>365</v>
      </c>
      <c r="K59" s="21">
        <v>90.31</v>
      </c>
      <c r="M59" s="57">
        <v>85.25</v>
      </c>
      <c r="N59" s="55">
        <v>0.8508</v>
      </c>
      <c r="O59" s="55">
        <v>0.87009999999999998</v>
      </c>
      <c r="P59" s="55">
        <v>0.86029999999999995</v>
      </c>
      <c r="Q59" s="55">
        <v>0.85440000000000005</v>
      </c>
      <c r="R59" s="55">
        <v>0.83330000000000004</v>
      </c>
      <c r="S59" s="55">
        <v>0.84379999999999999</v>
      </c>
      <c r="T59" s="21" t="s">
        <v>412</v>
      </c>
      <c r="AB59" s="21" t="str">
        <f t="shared" si="0"/>
        <v>Ours 2 (weight_decay 0.1, ps112, drop0.1)</v>
      </c>
    </row>
    <row r="60" spans="1:28" x14ac:dyDescent="0.4">
      <c r="A60" s="21" t="s">
        <v>430</v>
      </c>
      <c r="B60" s="21" t="s">
        <v>502</v>
      </c>
      <c r="C60" s="21" t="s">
        <v>275</v>
      </c>
      <c r="D60" s="21">
        <v>256</v>
      </c>
      <c r="E60" s="21" t="s">
        <v>100</v>
      </c>
      <c r="F60" s="21">
        <v>90</v>
      </c>
      <c r="G60" s="21" t="b">
        <v>0</v>
      </c>
      <c r="H60" s="21" t="s">
        <v>276</v>
      </c>
      <c r="I60" s="21" t="s">
        <v>60</v>
      </c>
      <c r="J60" s="21" t="s">
        <v>365</v>
      </c>
      <c r="K60" s="21">
        <v>90.94</v>
      </c>
      <c r="M60" s="57">
        <v>89.68</v>
      </c>
      <c r="N60" s="55">
        <v>0.93289999999999995</v>
      </c>
      <c r="O60" s="55">
        <v>0.86439999999999995</v>
      </c>
      <c r="P60" s="55">
        <v>0.89739999999999998</v>
      </c>
      <c r="Q60" s="55">
        <v>0.8629</v>
      </c>
      <c r="R60" s="55">
        <v>0.93210000000000004</v>
      </c>
      <c r="S60" s="55">
        <v>0.89610000000000001</v>
      </c>
      <c r="T60" s="21" t="s">
        <v>429</v>
      </c>
      <c r="AB60" s="21" t="str">
        <f t="shared" si="0"/>
        <v>Ours (weight_decay 0.01, ps224, drop0.1)</v>
      </c>
    </row>
    <row r="61" spans="1:28" x14ac:dyDescent="0.4">
      <c r="A61" s="21" t="s">
        <v>434</v>
      </c>
      <c r="B61" s="21" t="s">
        <v>502</v>
      </c>
      <c r="C61" s="21" t="s">
        <v>275</v>
      </c>
      <c r="D61" s="21">
        <v>256</v>
      </c>
      <c r="E61" s="21" t="s">
        <v>100</v>
      </c>
      <c r="F61" s="21">
        <v>90</v>
      </c>
      <c r="G61" s="21" t="b">
        <v>0</v>
      </c>
      <c r="H61" s="21" t="s">
        <v>276</v>
      </c>
      <c r="I61" s="21" t="s">
        <v>60</v>
      </c>
      <c r="J61" s="21" t="s">
        <v>365</v>
      </c>
      <c r="K61" s="21">
        <v>91.41</v>
      </c>
      <c r="M61" s="57">
        <v>85.84</v>
      </c>
      <c r="N61" s="55">
        <v>0.85250000000000004</v>
      </c>
      <c r="O61" s="55">
        <v>0.88139999999999996</v>
      </c>
      <c r="P61" s="55">
        <v>0.86670000000000003</v>
      </c>
      <c r="Q61" s="55">
        <v>0.86539999999999995</v>
      </c>
      <c r="R61" s="55">
        <v>0.83330000000000004</v>
      </c>
      <c r="S61" s="55">
        <v>0.84909999999999997</v>
      </c>
      <c r="T61" s="21" t="s">
        <v>436</v>
      </c>
      <c r="AB61" s="21" t="str">
        <f t="shared" si="0"/>
        <v>Ours (weight_decay 0.1, ps112, drop0.1, res_attn, emb_dim 36)</v>
      </c>
    </row>
    <row r="62" spans="1:28" x14ac:dyDescent="0.4">
      <c r="K62" s="21">
        <v>91.88</v>
      </c>
      <c r="M62" s="57">
        <v>84.96</v>
      </c>
      <c r="N62" s="55">
        <v>0.89380000000000004</v>
      </c>
      <c r="O62" s="55">
        <v>0.80789999999999995</v>
      </c>
      <c r="P62" s="55">
        <v>0.84870000000000001</v>
      </c>
      <c r="Q62" s="55">
        <v>0.81010000000000004</v>
      </c>
      <c r="R62" s="55">
        <v>0.89510000000000001</v>
      </c>
      <c r="S62" s="55">
        <v>0.85040000000000004</v>
      </c>
      <c r="T62" s="21" t="s">
        <v>437</v>
      </c>
      <c r="AB62" s="21">
        <f t="shared" si="0"/>
        <v>0</v>
      </c>
    </row>
    <row r="63" spans="1:28" x14ac:dyDescent="0.4">
      <c r="A63" s="21" t="s">
        <v>435</v>
      </c>
      <c r="B63" s="21" t="s">
        <v>502</v>
      </c>
      <c r="C63" s="21" t="s">
        <v>275</v>
      </c>
      <c r="D63" s="21">
        <v>256</v>
      </c>
      <c r="E63" s="21" t="s">
        <v>100</v>
      </c>
      <c r="F63" s="21">
        <v>90</v>
      </c>
      <c r="G63" s="21" t="b">
        <v>0</v>
      </c>
      <c r="H63" s="21" t="s">
        <v>276</v>
      </c>
      <c r="I63" s="21" t="s">
        <v>60</v>
      </c>
      <c r="J63" s="21" t="s">
        <v>365</v>
      </c>
      <c r="K63" s="21">
        <v>91.17</v>
      </c>
      <c r="M63" s="57">
        <v>84.37</v>
      </c>
      <c r="N63" s="55">
        <v>0.86899999999999999</v>
      </c>
      <c r="O63" s="55">
        <v>0.82489999999999997</v>
      </c>
      <c r="P63" s="55">
        <v>0.84640000000000004</v>
      </c>
      <c r="Q63" s="55">
        <v>0.81869999999999998</v>
      </c>
      <c r="R63" s="55">
        <v>0.86419999999999997</v>
      </c>
      <c r="S63" s="55">
        <v>0.84079999999999999</v>
      </c>
      <c r="T63" s="21" t="s">
        <v>439</v>
      </c>
      <c r="AB63" s="21" t="str">
        <f t="shared" si="0"/>
        <v>Ours (weight_decay 0.1, ps112, drop0.1, res_attn, emb_dim 48)</v>
      </c>
    </row>
    <row r="64" spans="1:28" x14ac:dyDescent="0.4">
      <c r="K64" s="21">
        <v>91.33</v>
      </c>
      <c r="M64" s="57">
        <v>85.25</v>
      </c>
      <c r="N64" s="55">
        <v>0.85880000000000001</v>
      </c>
      <c r="O64" s="55">
        <v>0.85880000000000001</v>
      </c>
      <c r="P64" s="55">
        <v>0.85880000000000001</v>
      </c>
      <c r="Q64" s="55">
        <v>0.84570000000000001</v>
      </c>
      <c r="R64" s="55">
        <v>0.84570000000000001</v>
      </c>
      <c r="S64" s="55">
        <v>0.84570000000000001</v>
      </c>
      <c r="T64" s="21" t="s">
        <v>438</v>
      </c>
      <c r="AB64" s="21">
        <f t="shared" si="0"/>
        <v>0</v>
      </c>
    </row>
    <row r="65" spans="1:28" x14ac:dyDescent="0.4">
      <c r="A65" s="21" t="s">
        <v>440</v>
      </c>
      <c r="B65" s="21" t="s">
        <v>502</v>
      </c>
      <c r="C65" s="21" t="s">
        <v>275</v>
      </c>
      <c r="D65" s="21">
        <v>256</v>
      </c>
      <c r="E65" s="21" t="s">
        <v>100</v>
      </c>
      <c r="F65" s="21">
        <v>90</v>
      </c>
      <c r="G65" s="21" t="b">
        <v>0</v>
      </c>
      <c r="H65" s="21" t="s">
        <v>276</v>
      </c>
      <c r="I65" s="21" t="s">
        <v>60</v>
      </c>
      <c r="J65" s="21" t="s">
        <v>365</v>
      </c>
      <c r="K65" s="21">
        <v>90.94</v>
      </c>
      <c r="M65" s="57">
        <v>88.2</v>
      </c>
      <c r="N65" s="55">
        <v>0.88270000000000004</v>
      </c>
      <c r="O65" s="55">
        <v>0.89270000000000005</v>
      </c>
      <c r="P65" s="55">
        <v>0.88759999999999994</v>
      </c>
      <c r="Q65" s="55">
        <v>0.88119999999999998</v>
      </c>
      <c r="R65" s="55">
        <v>0.87039999999999995</v>
      </c>
      <c r="S65" s="55">
        <v>0.87580000000000002</v>
      </c>
      <c r="T65" s="21" t="s">
        <v>441</v>
      </c>
      <c r="AB65" s="21" t="str">
        <f t="shared" ref="AB65:AB128" si="1">A65</f>
        <v>Ours (weight_decay 0.15, ps112, drop0.1, res_attn)</v>
      </c>
    </row>
    <row r="66" spans="1:28" x14ac:dyDescent="0.4">
      <c r="K66" s="21">
        <v>90.94</v>
      </c>
      <c r="M66" s="57">
        <v>89.09</v>
      </c>
      <c r="N66" s="55">
        <v>0.90700000000000003</v>
      </c>
      <c r="O66" s="55">
        <v>0.88139999999999996</v>
      </c>
      <c r="P66" s="55">
        <v>0.89400000000000002</v>
      </c>
      <c r="Q66" s="55">
        <v>0.87429999999999997</v>
      </c>
      <c r="R66" s="55">
        <v>0.9012</v>
      </c>
      <c r="S66" s="55">
        <v>0.88749999999999996</v>
      </c>
      <c r="T66" s="21" t="s">
        <v>442</v>
      </c>
      <c r="AB66" s="21">
        <f t="shared" si="1"/>
        <v>0</v>
      </c>
    </row>
    <row r="67" spans="1:28" x14ac:dyDescent="0.4">
      <c r="K67" s="21">
        <v>90.86</v>
      </c>
      <c r="M67" s="57">
        <v>87.61</v>
      </c>
      <c r="N67" s="55">
        <v>0.85340000000000005</v>
      </c>
      <c r="O67" s="55">
        <v>0.92090000000000005</v>
      </c>
      <c r="P67" s="55">
        <v>0.88590000000000002</v>
      </c>
      <c r="Q67" s="55">
        <v>0.90539999999999998</v>
      </c>
      <c r="R67" s="55">
        <v>0.82720000000000005</v>
      </c>
      <c r="S67" s="55">
        <v>0.86450000000000005</v>
      </c>
      <c r="T67" s="21" t="s">
        <v>443</v>
      </c>
      <c r="AB67" s="21">
        <f t="shared" si="1"/>
        <v>0</v>
      </c>
    </row>
    <row r="68" spans="1:28" x14ac:dyDescent="0.4">
      <c r="K68" s="21">
        <v>91.09</v>
      </c>
      <c r="M68" s="57">
        <v>88.2</v>
      </c>
      <c r="N68" s="55">
        <v>0.86629999999999996</v>
      </c>
      <c r="O68" s="55">
        <v>0.9153</v>
      </c>
      <c r="P68" s="55">
        <v>0.8901</v>
      </c>
      <c r="Q68" s="55">
        <v>0.90129999999999999</v>
      </c>
      <c r="R68" s="55">
        <v>0.84570000000000001</v>
      </c>
      <c r="S68" s="55">
        <v>0.87260000000000004</v>
      </c>
      <c r="T68" s="21" t="s">
        <v>444</v>
      </c>
      <c r="AB68" s="21">
        <f t="shared" si="1"/>
        <v>0</v>
      </c>
    </row>
    <row r="69" spans="1:28" x14ac:dyDescent="0.4">
      <c r="A69" s="21" t="s">
        <v>448</v>
      </c>
      <c r="B69" s="21" t="s">
        <v>502</v>
      </c>
      <c r="C69" s="21" t="s">
        <v>275</v>
      </c>
      <c r="D69" s="21">
        <v>256</v>
      </c>
      <c r="E69" s="21" t="s">
        <v>100</v>
      </c>
      <c r="F69" s="21">
        <v>90</v>
      </c>
      <c r="G69" s="21" t="b">
        <v>0</v>
      </c>
      <c r="H69" s="21" t="s">
        <v>276</v>
      </c>
      <c r="I69" s="21" t="s">
        <v>60</v>
      </c>
      <c r="J69" s="21" t="s">
        <v>365</v>
      </c>
      <c r="K69" s="21">
        <v>92.73</v>
      </c>
      <c r="M69" s="57">
        <v>86.73</v>
      </c>
      <c r="N69" s="55">
        <v>0.86670000000000003</v>
      </c>
      <c r="O69" s="55">
        <v>0.88139999999999996</v>
      </c>
      <c r="P69" s="55">
        <v>0.87390000000000001</v>
      </c>
      <c r="Q69" s="55">
        <v>0.8679</v>
      </c>
      <c r="R69" s="55">
        <v>0.85189999999999999</v>
      </c>
      <c r="S69" s="55">
        <v>0.85980000000000001</v>
      </c>
      <c r="T69" s="21" t="s">
        <v>445</v>
      </c>
      <c r="AB69" s="21" t="str">
        <f t="shared" si="1"/>
        <v>Ours (weight_decay 0.15, ps112, drop0.1, res_attn, lr 0.002)</v>
      </c>
    </row>
    <row r="70" spans="1:28" x14ac:dyDescent="0.4">
      <c r="K70" s="21">
        <v>92.81</v>
      </c>
      <c r="M70" s="57">
        <v>87.61</v>
      </c>
      <c r="N70" s="55">
        <v>0.87709999999999999</v>
      </c>
      <c r="O70" s="55">
        <v>0.88700000000000001</v>
      </c>
      <c r="P70" s="55">
        <v>0.88200000000000001</v>
      </c>
      <c r="Q70" s="55">
        <v>0.875</v>
      </c>
      <c r="R70" s="55">
        <v>0.86419999999999997</v>
      </c>
      <c r="S70" s="55">
        <v>0.86960000000000004</v>
      </c>
      <c r="T70" s="21" t="s">
        <v>446</v>
      </c>
      <c r="AB70" s="21">
        <f t="shared" si="1"/>
        <v>0</v>
      </c>
    </row>
    <row r="71" spans="1:28" x14ac:dyDescent="0.4">
      <c r="K71" s="21">
        <v>93.05</v>
      </c>
      <c r="M71" s="57">
        <v>88.79</v>
      </c>
      <c r="N71" s="55">
        <v>0.88829999999999998</v>
      </c>
      <c r="O71" s="55">
        <v>0.89829999999999999</v>
      </c>
      <c r="P71" s="55">
        <v>0.89329999999999998</v>
      </c>
      <c r="Q71" s="55">
        <v>0.88749999999999996</v>
      </c>
      <c r="R71" s="55">
        <v>0.87649999999999995</v>
      </c>
      <c r="S71" s="55">
        <v>0.88200000000000001</v>
      </c>
      <c r="T71" s="21" t="s">
        <v>447</v>
      </c>
      <c r="AB71" s="21">
        <f t="shared" si="1"/>
        <v>0</v>
      </c>
    </row>
    <row r="72" spans="1:28" x14ac:dyDescent="0.4">
      <c r="A72" s="21" t="s">
        <v>451</v>
      </c>
      <c r="B72" s="21" t="s">
        <v>502</v>
      </c>
      <c r="C72" s="21" t="s">
        <v>275</v>
      </c>
      <c r="D72" s="21">
        <v>256</v>
      </c>
      <c r="E72" s="21" t="s">
        <v>100</v>
      </c>
      <c r="F72" s="21">
        <v>90</v>
      </c>
      <c r="G72" s="21" t="b">
        <v>0</v>
      </c>
      <c r="H72" s="21" t="s">
        <v>276</v>
      </c>
      <c r="I72" s="21" t="s">
        <v>60</v>
      </c>
      <c r="J72" s="21" t="s">
        <v>365</v>
      </c>
      <c r="K72" s="21">
        <v>91.95</v>
      </c>
      <c r="M72" s="57">
        <v>87.61</v>
      </c>
      <c r="N72" s="55">
        <v>0.87709999999999999</v>
      </c>
      <c r="O72" s="55">
        <v>0.88700000000000001</v>
      </c>
      <c r="P72" s="55">
        <v>0.88200000000000001</v>
      </c>
      <c r="T72" s="21" t="s">
        <v>452</v>
      </c>
      <c r="AB72" s="21" t="str">
        <f t="shared" si="1"/>
        <v>Ours (weight_decay 0.1, ps112, drop0.1, res_attn, layers5)</v>
      </c>
    </row>
    <row r="73" spans="1:28" x14ac:dyDescent="0.4">
      <c r="K73" s="21">
        <v>91.56</v>
      </c>
      <c r="M73" s="57">
        <v>89.09</v>
      </c>
      <c r="P73" s="55">
        <v>0.89639999999999997</v>
      </c>
      <c r="T73" s="21" t="s">
        <v>453</v>
      </c>
      <c r="AB73" s="21">
        <f t="shared" si="1"/>
        <v>0</v>
      </c>
    </row>
    <row r="74" spans="1:28" x14ac:dyDescent="0.4">
      <c r="K74" s="21">
        <v>91.64</v>
      </c>
      <c r="M74" s="57">
        <v>86.73</v>
      </c>
      <c r="P74" s="55">
        <v>0.87029999999999996</v>
      </c>
      <c r="T74" s="21" t="s">
        <v>454</v>
      </c>
      <c r="AB74" s="21">
        <f t="shared" si="1"/>
        <v>0</v>
      </c>
    </row>
    <row r="75" spans="1:28" x14ac:dyDescent="0.4">
      <c r="K75" s="21">
        <v>91.72</v>
      </c>
      <c r="M75" s="57">
        <v>87.61</v>
      </c>
      <c r="P75" s="55">
        <v>0.87929999999999997</v>
      </c>
      <c r="T75" s="21" t="s">
        <v>455</v>
      </c>
      <c r="AB75" s="21">
        <f t="shared" si="1"/>
        <v>0</v>
      </c>
    </row>
    <row r="76" spans="1:28" x14ac:dyDescent="0.4">
      <c r="A76" s="21" t="s">
        <v>456</v>
      </c>
      <c r="B76" s="21" t="s">
        <v>502</v>
      </c>
      <c r="C76" s="21" t="s">
        <v>275</v>
      </c>
      <c r="D76" s="21">
        <v>256</v>
      </c>
      <c r="E76" s="21" t="s">
        <v>100</v>
      </c>
      <c r="F76" s="21">
        <v>90</v>
      </c>
      <c r="G76" s="21" t="b">
        <v>0</v>
      </c>
      <c r="H76" s="21" t="s">
        <v>276</v>
      </c>
      <c r="I76" s="21" t="s">
        <v>60</v>
      </c>
      <c r="J76" s="21" t="s">
        <v>365</v>
      </c>
      <c r="K76" s="21">
        <v>91.72</v>
      </c>
      <c r="M76" s="57">
        <v>86.14</v>
      </c>
      <c r="P76" s="55">
        <v>0.86529999999999996</v>
      </c>
      <c r="T76" s="21" t="s">
        <v>457</v>
      </c>
      <c r="AB76" s="21" t="str">
        <f t="shared" si="1"/>
        <v>Ours (weight_decay 0.1, ps112, drop0.1, layers5)</v>
      </c>
    </row>
    <row r="77" spans="1:28" x14ac:dyDescent="0.4">
      <c r="K77" s="21">
        <v>91.72</v>
      </c>
      <c r="M77" s="57">
        <v>86.73</v>
      </c>
      <c r="P77" s="55">
        <v>0.87029999999999996</v>
      </c>
      <c r="T77" s="21" t="s">
        <v>458</v>
      </c>
      <c r="AB77" s="21">
        <f t="shared" si="1"/>
        <v>0</v>
      </c>
    </row>
    <row r="78" spans="1:28" x14ac:dyDescent="0.4">
      <c r="K78" s="21">
        <v>91.41</v>
      </c>
      <c r="M78" s="57">
        <v>86.43</v>
      </c>
      <c r="P78" s="55">
        <v>0.86780000000000002</v>
      </c>
      <c r="T78" s="21" t="s">
        <v>459</v>
      </c>
      <c r="AB78" s="21">
        <f t="shared" si="1"/>
        <v>0</v>
      </c>
    </row>
    <row r="79" spans="1:28" x14ac:dyDescent="0.4">
      <c r="K79" s="21">
        <v>91.33</v>
      </c>
      <c r="M79" s="57">
        <v>87.91</v>
      </c>
      <c r="P79" s="55">
        <v>0.88519999999999999</v>
      </c>
      <c r="T79" s="21" t="s">
        <v>460</v>
      </c>
      <c r="AB79" s="21">
        <f t="shared" si="1"/>
        <v>0</v>
      </c>
    </row>
    <row r="80" spans="1:28" x14ac:dyDescent="0.4">
      <c r="A80" s="62" t="s">
        <v>464</v>
      </c>
      <c r="B80" s="20" t="s">
        <v>502</v>
      </c>
      <c r="C80" s="20" t="s">
        <v>275</v>
      </c>
      <c r="D80" s="20">
        <v>256</v>
      </c>
      <c r="E80" s="20" t="s">
        <v>100</v>
      </c>
      <c r="F80" s="20">
        <v>90</v>
      </c>
      <c r="G80" s="20" t="b">
        <v>0</v>
      </c>
      <c r="H80" s="20" t="s">
        <v>276</v>
      </c>
      <c r="I80" s="20" t="s">
        <v>60</v>
      </c>
      <c r="J80" s="20" t="s">
        <v>365</v>
      </c>
      <c r="K80" s="21">
        <v>90.94</v>
      </c>
      <c r="L80" s="20"/>
      <c r="M80" s="57">
        <v>89.09</v>
      </c>
      <c r="P80" s="55">
        <v>0.89459999999999995</v>
      </c>
      <c r="T80" s="21" t="s">
        <v>465</v>
      </c>
      <c r="AB80" s="21" t="str">
        <f t="shared" si="1"/>
        <v>Ours (weight_decay 0.0001, ps112, drop0.1, res_attn)</v>
      </c>
    </row>
    <row r="81" spans="1:28" x14ac:dyDescent="0.4">
      <c r="K81" s="21">
        <v>90.86</v>
      </c>
      <c r="M81" s="57">
        <v>86.73</v>
      </c>
      <c r="P81" s="55">
        <v>0.878</v>
      </c>
      <c r="T81" s="21" t="s">
        <v>466</v>
      </c>
      <c r="AB81" s="21">
        <f t="shared" si="1"/>
        <v>0</v>
      </c>
    </row>
    <row r="82" spans="1:28" x14ac:dyDescent="0.4">
      <c r="K82" s="21">
        <v>90.94</v>
      </c>
      <c r="M82" s="57">
        <v>89.38</v>
      </c>
      <c r="P82" s="55">
        <v>0.89710000000000001</v>
      </c>
      <c r="T82" s="21" t="s">
        <v>467</v>
      </c>
      <c r="AB82" s="21">
        <f t="shared" si="1"/>
        <v>0</v>
      </c>
    </row>
    <row r="83" spans="1:28" x14ac:dyDescent="0.4">
      <c r="K83" s="21">
        <v>90.78</v>
      </c>
      <c r="M83" s="57">
        <v>89.68</v>
      </c>
      <c r="P83" s="55">
        <v>0.89910000000000001</v>
      </c>
      <c r="T83" s="21" t="s">
        <v>468</v>
      </c>
      <c r="AB83" s="21">
        <f t="shared" si="1"/>
        <v>0</v>
      </c>
    </row>
    <row r="84" spans="1:28" x14ac:dyDescent="0.4">
      <c r="A84" s="21" t="s">
        <v>474</v>
      </c>
      <c r="B84" s="21" t="s">
        <v>502</v>
      </c>
      <c r="C84" s="21" t="s">
        <v>275</v>
      </c>
      <c r="D84" s="21">
        <v>256</v>
      </c>
      <c r="E84" s="21" t="s">
        <v>103</v>
      </c>
      <c r="F84" s="21">
        <v>90</v>
      </c>
      <c r="G84" s="21" t="b">
        <v>0</v>
      </c>
      <c r="H84" s="21" t="s">
        <v>470</v>
      </c>
      <c r="I84" s="21" t="s">
        <v>471</v>
      </c>
      <c r="J84" s="21" t="s">
        <v>365</v>
      </c>
      <c r="K84" s="21">
        <v>75.47</v>
      </c>
      <c r="M84" s="57">
        <v>79.349999999999994</v>
      </c>
      <c r="P84" s="55">
        <v>0.79530000000000001</v>
      </c>
      <c r="T84" s="21" t="s">
        <v>473</v>
      </c>
      <c r="AB84" s="21" t="str">
        <f t="shared" si="1"/>
        <v>Ours (weight_decay 0.0001, ps112, drop0.1, res_attn, lr 0.001)</v>
      </c>
    </row>
    <row r="85" spans="1:28" x14ac:dyDescent="0.4">
      <c r="A85" s="21" t="s">
        <v>476</v>
      </c>
      <c r="B85" s="21" t="s">
        <v>502</v>
      </c>
      <c r="C85" s="21" t="s">
        <v>275</v>
      </c>
      <c r="D85" s="21">
        <v>256</v>
      </c>
      <c r="E85" s="21" t="s">
        <v>103</v>
      </c>
      <c r="F85" s="21">
        <v>90</v>
      </c>
      <c r="G85" s="21" t="b">
        <v>0</v>
      </c>
      <c r="H85" s="21" t="s">
        <v>470</v>
      </c>
      <c r="I85" s="21" t="s">
        <v>471</v>
      </c>
      <c r="J85" s="21" t="s">
        <v>365</v>
      </c>
      <c r="K85" s="21">
        <v>87.58</v>
      </c>
      <c r="M85" s="57">
        <v>86.73</v>
      </c>
      <c r="P85" s="55">
        <v>0.87390000000000001</v>
      </c>
      <c r="T85" s="21" t="s">
        <v>477</v>
      </c>
      <c r="AB85" s="21" t="str">
        <f t="shared" si="1"/>
        <v>Ours (weight_decay 0.0001, ps112, drop0.1, res_attn, lr 0.1)</v>
      </c>
    </row>
    <row r="86" spans="1:28" x14ac:dyDescent="0.4">
      <c r="A86" s="21" t="s">
        <v>475</v>
      </c>
      <c r="B86" s="21" t="s">
        <v>502</v>
      </c>
      <c r="C86" s="21" t="s">
        <v>275</v>
      </c>
      <c r="D86" s="21">
        <v>256</v>
      </c>
      <c r="E86" s="21" t="s">
        <v>102</v>
      </c>
      <c r="F86" s="21">
        <v>90</v>
      </c>
      <c r="G86" s="21" t="b">
        <v>0</v>
      </c>
      <c r="H86" s="21" t="s">
        <v>469</v>
      </c>
      <c r="I86" s="21" t="s">
        <v>479</v>
      </c>
      <c r="J86" s="21" t="s">
        <v>365</v>
      </c>
      <c r="K86" s="21">
        <v>88.36</v>
      </c>
      <c r="M86" s="57">
        <v>86.73</v>
      </c>
      <c r="P86" s="55">
        <v>0.87470000000000003</v>
      </c>
      <c r="T86" s="21" t="s">
        <v>480</v>
      </c>
      <c r="AB86" s="21" t="str">
        <f t="shared" si="1"/>
        <v>Ours (weight_decay 0.0001, ps112, drop0.1, res_attn, lr 0.1)</v>
      </c>
    </row>
    <row r="87" spans="1:28" x14ac:dyDescent="0.4">
      <c r="A87" s="21" t="s">
        <v>475</v>
      </c>
      <c r="B87" s="21" t="s">
        <v>502</v>
      </c>
      <c r="C87" s="21" t="s">
        <v>275</v>
      </c>
      <c r="D87" s="21">
        <v>256</v>
      </c>
      <c r="E87" s="21" t="s">
        <v>102</v>
      </c>
      <c r="F87" s="21">
        <v>90</v>
      </c>
      <c r="G87" s="21" t="b">
        <v>0</v>
      </c>
      <c r="H87" s="21" t="s">
        <v>276</v>
      </c>
      <c r="I87" s="21" t="s">
        <v>478</v>
      </c>
      <c r="J87" s="21" t="s">
        <v>365</v>
      </c>
      <c r="K87" s="21">
        <v>52.34</v>
      </c>
      <c r="M87" s="57">
        <v>52.21</v>
      </c>
      <c r="P87" s="55">
        <v>0.68600000000000005</v>
      </c>
      <c r="T87" s="21" t="s">
        <v>481</v>
      </c>
      <c r="AB87" s="21" t="str">
        <f t="shared" si="1"/>
        <v>Ours (weight_decay 0.0001, ps112, drop0.1, res_attn, lr 0.1)</v>
      </c>
    </row>
    <row r="88" spans="1:28" x14ac:dyDescent="0.4">
      <c r="A88" s="21" t="s">
        <v>475</v>
      </c>
      <c r="B88" s="21" t="s">
        <v>502</v>
      </c>
      <c r="C88" s="21" t="s">
        <v>275</v>
      </c>
      <c r="D88" s="21">
        <v>256</v>
      </c>
      <c r="E88" s="21" t="s">
        <v>102</v>
      </c>
      <c r="F88" s="21">
        <v>90</v>
      </c>
      <c r="G88" s="21" t="b">
        <v>0</v>
      </c>
      <c r="H88" s="21" t="s">
        <v>276</v>
      </c>
      <c r="I88" s="21" t="s">
        <v>471</v>
      </c>
      <c r="J88" s="21" t="s">
        <v>365</v>
      </c>
      <c r="K88" s="21">
        <v>52.34</v>
      </c>
      <c r="M88" s="57">
        <v>52.21</v>
      </c>
      <c r="P88" s="55">
        <v>0.68600000000000005</v>
      </c>
      <c r="T88" s="21" t="s">
        <v>482</v>
      </c>
      <c r="AB88" s="21" t="str">
        <f t="shared" si="1"/>
        <v>Ours (weight_decay 0.0001, ps112, drop0.1, res_attn, lr 0.1)</v>
      </c>
    </row>
    <row r="89" spans="1:28" x14ac:dyDescent="0.4">
      <c r="A89" s="21" t="s">
        <v>463</v>
      </c>
      <c r="B89" s="21" t="s">
        <v>502</v>
      </c>
      <c r="C89" s="21" t="s">
        <v>275</v>
      </c>
      <c r="D89" s="21">
        <v>256</v>
      </c>
      <c r="E89" s="21" t="s">
        <v>102</v>
      </c>
      <c r="F89" s="21">
        <v>90</v>
      </c>
      <c r="G89" s="21" t="b">
        <v>0</v>
      </c>
      <c r="H89" s="21" t="s">
        <v>276</v>
      </c>
      <c r="I89" s="21" t="s">
        <v>60</v>
      </c>
      <c r="J89" s="21" t="s">
        <v>365</v>
      </c>
      <c r="K89" s="21">
        <v>90.62</v>
      </c>
      <c r="M89" s="57">
        <v>89.09</v>
      </c>
      <c r="P89" s="55">
        <v>0.8992</v>
      </c>
      <c r="T89" s="21" t="s">
        <v>483</v>
      </c>
      <c r="AB89" s="21" t="str">
        <f t="shared" si="1"/>
        <v>Ours (weight_decay 0.0001, ps112, drop0.1, res_attn)</v>
      </c>
    </row>
    <row r="90" spans="1:28" x14ac:dyDescent="0.4">
      <c r="K90" s="21">
        <v>90.39</v>
      </c>
      <c r="M90" s="57">
        <v>87.61</v>
      </c>
      <c r="P90" s="55">
        <v>0.88519999999999999</v>
      </c>
      <c r="T90" s="21" t="s">
        <v>491</v>
      </c>
      <c r="AB90" s="21">
        <f t="shared" si="1"/>
        <v>0</v>
      </c>
    </row>
    <row r="91" spans="1:28" x14ac:dyDescent="0.4">
      <c r="K91" s="21">
        <v>90.31</v>
      </c>
      <c r="M91" s="57">
        <v>87.91</v>
      </c>
      <c r="P91" s="55">
        <v>0.88639999999999997</v>
      </c>
      <c r="T91" s="21" t="s">
        <v>492</v>
      </c>
      <c r="AB91" s="21">
        <f t="shared" si="1"/>
        <v>0</v>
      </c>
    </row>
    <row r="92" spans="1:28" x14ac:dyDescent="0.4">
      <c r="K92" s="21">
        <v>90.78</v>
      </c>
      <c r="M92" s="57">
        <v>87.61</v>
      </c>
      <c r="P92" s="55">
        <v>0.88460000000000005</v>
      </c>
      <c r="T92" s="21" t="s">
        <v>493</v>
      </c>
      <c r="AB92" s="21">
        <f t="shared" si="1"/>
        <v>0</v>
      </c>
    </row>
    <row r="93" spans="1:28" x14ac:dyDescent="0.4">
      <c r="A93" s="21" t="s">
        <v>489</v>
      </c>
      <c r="B93" s="21" t="s">
        <v>502</v>
      </c>
      <c r="C93" s="21" t="s">
        <v>275</v>
      </c>
      <c r="D93" s="21">
        <v>256</v>
      </c>
      <c r="E93" s="21" t="s">
        <v>102</v>
      </c>
      <c r="F93" s="21">
        <v>90</v>
      </c>
      <c r="G93" s="21" t="b">
        <v>0</v>
      </c>
      <c r="H93" s="21" t="s">
        <v>276</v>
      </c>
      <c r="I93" s="21" t="s">
        <v>60</v>
      </c>
      <c r="J93" s="21" t="s">
        <v>365</v>
      </c>
      <c r="K93" s="21">
        <v>91.33</v>
      </c>
      <c r="M93" s="57">
        <v>87.91</v>
      </c>
      <c r="P93" s="55">
        <v>0.88639999999999997</v>
      </c>
      <c r="T93" s="21" t="s">
        <v>487</v>
      </c>
      <c r="AB93" s="21" t="str">
        <f t="shared" si="1"/>
        <v>Ours (weight_decay 0.0001, ps112, drop0.1, res_attn, eta_min0.0001)</v>
      </c>
    </row>
    <row r="94" spans="1:28" x14ac:dyDescent="0.4">
      <c r="K94" s="21">
        <v>91.09</v>
      </c>
      <c r="M94" s="57">
        <v>86.14</v>
      </c>
      <c r="P94" s="55">
        <v>0.87529999999999997</v>
      </c>
      <c r="T94" s="21" t="s">
        <v>490</v>
      </c>
      <c r="AB94" s="21">
        <f t="shared" si="1"/>
        <v>0</v>
      </c>
    </row>
    <row r="95" spans="1:28" x14ac:dyDescent="0.4">
      <c r="A95" s="21" t="s">
        <v>484</v>
      </c>
      <c r="B95" s="21" t="s">
        <v>502</v>
      </c>
      <c r="C95" s="21" t="s">
        <v>275</v>
      </c>
      <c r="D95" s="21">
        <v>256</v>
      </c>
      <c r="E95" s="21" t="s">
        <v>102</v>
      </c>
      <c r="F95" s="21">
        <v>90</v>
      </c>
      <c r="G95" s="21" t="b">
        <v>0</v>
      </c>
      <c r="H95" s="21" t="s">
        <v>276</v>
      </c>
      <c r="I95" s="21" t="s">
        <v>60</v>
      </c>
      <c r="J95" s="21" t="s">
        <v>365</v>
      </c>
      <c r="K95" s="21">
        <v>91.17</v>
      </c>
      <c r="M95" s="57">
        <v>87.32</v>
      </c>
      <c r="P95" s="55">
        <v>0.8841</v>
      </c>
      <c r="T95" s="21" t="s">
        <v>485</v>
      </c>
      <c r="AB95" s="21" t="str">
        <f t="shared" si="1"/>
        <v>Ours (weight_decay 0.0001, ps112, drop0.1, res_attn, eta_min0.0003)</v>
      </c>
    </row>
    <row r="96" spans="1:28" x14ac:dyDescent="0.4">
      <c r="A96" s="21" t="s">
        <v>488</v>
      </c>
      <c r="B96" s="21" t="s">
        <v>502</v>
      </c>
      <c r="C96" s="21" t="s">
        <v>275</v>
      </c>
      <c r="D96" s="21">
        <v>256</v>
      </c>
      <c r="E96" s="21" t="s">
        <v>102</v>
      </c>
      <c r="F96" s="21">
        <v>90</v>
      </c>
      <c r="G96" s="21" t="b">
        <v>0</v>
      </c>
      <c r="H96" s="21" t="s">
        <v>276</v>
      </c>
      <c r="I96" s="21" t="s">
        <v>60</v>
      </c>
      <c r="J96" s="21" t="s">
        <v>365</v>
      </c>
      <c r="K96" s="21">
        <v>91.64</v>
      </c>
      <c r="M96" s="57">
        <v>88.5</v>
      </c>
      <c r="P96" s="55">
        <v>0.89259999999999995</v>
      </c>
      <c r="T96" s="21" t="s">
        <v>486</v>
      </c>
      <c r="AB96" s="21" t="str">
        <f t="shared" si="1"/>
        <v>Ours (weight_decay 0.0001, ps112, drop0.1, res_attn, eta_min0.0005)</v>
      </c>
    </row>
    <row r="97" spans="1:28" x14ac:dyDescent="0.4">
      <c r="A97" s="62" t="s">
        <v>497</v>
      </c>
      <c r="B97" s="21" t="s">
        <v>502</v>
      </c>
      <c r="C97" s="21" t="s">
        <v>275</v>
      </c>
      <c r="D97" s="21">
        <v>256</v>
      </c>
      <c r="E97" s="21" t="s">
        <v>100</v>
      </c>
      <c r="F97" s="21">
        <v>90</v>
      </c>
      <c r="G97" s="21" t="b">
        <v>0</v>
      </c>
      <c r="H97" s="21" t="s">
        <v>276</v>
      </c>
      <c r="I97" s="21" t="s">
        <v>60</v>
      </c>
      <c r="J97" s="21" t="s">
        <v>365</v>
      </c>
      <c r="K97" s="21">
        <v>93.91</v>
      </c>
      <c r="M97" s="57">
        <v>85.55</v>
      </c>
      <c r="P97" s="55">
        <v>0.86580000000000001</v>
      </c>
      <c r="T97" s="21" t="s">
        <v>498</v>
      </c>
      <c r="AB97" s="21" t="str">
        <f t="shared" si="1"/>
        <v>Ours (weight_decay 0.0001, ps56, drop0.1, res_attn)</v>
      </c>
    </row>
    <row r="98" spans="1:28" x14ac:dyDescent="0.4">
      <c r="K98" s="21">
        <v>93.91</v>
      </c>
      <c r="M98" s="57">
        <v>86.14</v>
      </c>
      <c r="P98" s="55">
        <v>0.86609999999999998</v>
      </c>
      <c r="T98" s="21" t="s">
        <v>499</v>
      </c>
      <c r="AB98" s="21">
        <f t="shared" si="1"/>
        <v>0</v>
      </c>
    </row>
    <row r="99" spans="1:28" x14ac:dyDescent="0.4">
      <c r="K99" s="21">
        <v>93.91</v>
      </c>
      <c r="M99" s="57">
        <v>86.43</v>
      </c>
      <c r="P99" s="55">
        <v>0.87219999999999998</v>
      </c>
      <c r="T99" s="21" t="s">
        <v>500</v>
      </c>
      <c r="AB99" s="21">
        <f t="shared" si="1"/>
        <v>0</v>
      </c>
    </row>
    <row r="100" spans="1:28" x14ac:dyDescent="0.4">
      <c r="K100" s="21">
        <v>93.12</v>
      </c>
      <c r="M100" s="57">
        <v>85.84</v>
      </c>
      <c r="P100" s="55">
        <v>0.86360000000000003</v>
      </c>
      <c r="T100" s="21" t="s">
        <v>501</v>
      </c>
      <c r="AB100" s="21">
        <f t="shared" si="1"/>
        <v>0</v>
      </c>
    </row>
    <row r="101" spans="1:28" x14ac:dyDescent="0.4">
      <c r="A101" s="21" t="s">
        <v>504</v>
      </c>
      <c r="B101" s="21" t="s">
        <v>503</v>
      </c>
      <c r="C101" s="21" t="s">
        <v>275</v>
      </c>
      <c r="D101" s="21">
        <v>256</v>
      </c>
      <c r="E101" s="21" t="s">
        <v>100</v>
      </c>
      <c r="F101" s="21">
        <v>90</v>
      </c>
      <c r="G101" s="21" t="b">
        <v>0</v>
      </c>
      <c r="H101" s="21" t="s">
        <v>276</v>
      </c>
      <c r="I101" s="21" t="s">
        <v>60</v>
      </c>
      <c r="J101" s="21" t="s">
        <v>365</v>
      </c>
      <c r="K101" s="21">
        <v>91.8</v>
      </c>
      <c r="M101" s="57">
        <v>85.84</v>
      </c>
      <c r="P101" s="55">
        <v>0.86739999999999995</v>
      </c>
      <c r="T101" s="21" t="s">
        <v>505</v>
      </c>
      <c r="AB101" s="21" t="str">
        <f t="shared" si="1"/>
        <v>Ours (weight_decay 0.0001, ps75, drop0.1, res_attn)</v>
      </c>
    </row>
    <row r="102" spans="1:28" x14ac:dyDescent="0.4">
      <c r="K102" s="21">
        <v>92.34</v>
      </c>
      <c r="M102" s="57">
        <v>86.14</v>
      </c>
      <c r="P102" s="55">
        <v>0.86980000000000002</v>
      </c>
      <c r="T102" s="21" t="s">
        <v>506</v>
      </c>
      <c r="AB102" s="21">
        <f t="shared" si="1"/>
        <v>0</v>
      </c>
    </row>
    <row r="103" spans="1:28" x14ac:dyDescent="0.4">
      <c r="K103" s="21">
        <v>92.5</v>
      </c>
      <c r="M103" s="57">
        <v>85.84</v>
      </c>
      <c r="P103" s="55">
        <v>0.86809999999999998</v>
      </c>
      <c r="T103" s="21" t="s">
        <v>507</v>
      </c>
      <c r="AB103" s="21">
        <f t="shared" si="1"/>
        <v>0</v>
      </c>
    </row>
    <row r="104" spans="1:28" x14ac:dyDescent="0.4">
      <c r="K104" s="21">
        <v>91.95</v>
      </c>
      <c r="P104" s="55">
        <v>0.85960000000000003</v>
      </c>
      <c r="T104" s="21" t="s">
        <v>508</v>
      </c>
      <c r="AB104" s="21">
        <f t="shared" si="1"/>
        <v>0</v>
      </c>
    </row>
    <row r="105" spans="1:28" x14ac:dyDescent="0.4">
      <c r="A105" s="62" t="s">
        <v>514</v>
      </c>
      <c r="B105" s="21" t="s">
        <v>502</v>
      </c>
      <c r="C105" s="21" t="s">
        <v>275</v>
      </c>
      <c r="D105" s="21">
        <v>256</v>
      </c>
      <c r="E105" s="21" t="s">
        <v>100</v>
      </c>
      <c r="F105" s="21">
        <v>90</v>
      </c>
      <c r="G105" s="21" t="b">
        <v>0</v>
      </c>
      <c r="H105" s="21" t="s">
        <v>276</v>
      </c>
      <c r="I105" s="21" t="s">
        <v>60</v>
      </c>
      <c r="J105" s="21" t="s">
        <v>365</v>
      </c>
      <c r="K105" s="21">
        <v>90.86</v>
      </c>
      <c r="M105" s="57">
        <v>86.73</v>
      </c>
      <c r="P105" s="55">
        <v>0.87109999999999999</v>
      </c>
      <c r="T105" s="21" t="s">
        <v>510</v>
      </c>
      <c r="AB105" s="21" t="str">
        <f t="shared" si="1"/>
        <v>Ours (weight_decay 0.0001, ps112, drop0.1, res_attn, stride56)</v>
      </c>
    </row>
    <row r="106" spans="1:28" x14ac:dyDescent="0.4">
      <c r="A106" s="21" t="s">
        <v>518</v>
      </c>
      <c r="B106" s="21" t="s">
        <v>502</v>
      </c>
      <c r="C106" s="21" t="s">
        <v>275</v>
      </c>
      <c r="D106" s="21">
        <v>256</v>
      </c>
      <c r="E106" s="21" t="s">
        <v>100</v>
      </c>
      <c r="F106" s="21">
        <v>90</v>
      </c>
      <c r="G106" s="21" t="b">
        <v>0</v>
      </c>
      <c r="H106" s="21" t="s">
        <v>276</v>
      </c>
      <c r="I106" s="21" t="s">
        <v>60</v>
      </c>
      <c r="J106" s="21" t="s">
        <v>365</v>
      </c>
      <c r="T106" s="21" t="s">
        <v>517</v>
      </c>
      <c r="AB106" s="21" t="str">
        <f t="shared" si="1"/>
        <v>Ours (weight_decay 0.0001, ps112, drop0.1, res_attn, stride56, eff_feat3)</v>
      </c>
    </row>
    <row r="107" spans="1:28" x14ac:dyDescent="0.4">
      <c r="A107" s="21" t="s">
        <v>519</v>
      </c>
      <c r="B107" s="21" t="s">
        <v>502</v>
      </c>
      <c r="C107" s="21" t="s">
        <v>275</v>
      </c>
      <c r="D107" s="21">
        <v>256</v>
      </c>
      <c r="E107" s="21" t="s">
        <v>100</v>
      </c>
      <c r="F107" s="21">
        <v>90</v>
      </c>
      <c r="G107" s="21" t="b">
        <v>0</v>
      </c>
      <c r="H107" s="21" t="s">
        <v>276</v>
      </c>
      <c r="I107" s="21" t="s">
        <v>60</v>
      </c>
      <c r="J107" s="21" t="s">
        <v>365</v>
      </c>
      <c r="AB107" s="21" t="str">
        <f t="shared" si="1"/>
        <v>Ours (weight_decay 0.01, ps112, drop0.1, res_attn, stride56, eff_feat3)</v>
      </c>
    </row>
    <row r="108" spans="1:28" x14ac:dyDescent="0.4">
      <c r="A108" s="21" t="s">
        <v>515</v>
      </c>
      <c r="B108" s="21" t="s">
        <v>502</v>
      </c>
      <c r="C108" s="21" t="s">
        <v>275</v>
      </c>
      <c r="D108" s="21">
        <v>256</v>
      </c>
      <c r="E108" s="21" t="s">
        <v>100</v>
      </c>
      <c r="F108" s="21">
        <v>90</v>
      </c>
      <c r="G108" s="21" t="b">
        <v>0</v>
      </c>
      <c r="H108" s="21" t="s">
        <v>276</v>
      </c>
      <c r="I108" s="21" t="s">
        <v>60</v>
      </c>
      <c r="J108" s="21" t="s">
        <v>365</v>
      </c>
      <c r="K108" s="21">
        <v>99.38</v>
      </c>
      <c r="M108" s="57">
        <v>85.84</v>
      </c>
      <c r="P108" s="55">
        <v>0.86670000000000003</v>
      </c>
      <c r="T108" s="21" t="s">
        <v>512</v>
      </c>
      <c r="AB108" s="21" t="str">
        <f t="shared" si="1"/>
        <v>Ours (weight_decay 0.0001, ps112, drop0.1, res_attn, stride56, eff_feat3, featured_patch_dim 40, emb_dim40)</v>
      </c>
    </row>
    <row r="109" spans="1:28" x14ac:dyDescent="0.4">
      <c r="A109" s="21" t="s">
        <v>516</v>
      </c>
      <c r="B109" s="21" t="s">
        <v>502</v>
      </c>
      <c r="C109" s="21" t="s">
        <v>275</v>
      </c>
      <c r="D109" s="21">
        <v>256</v>
      </c>
      <c r="E109" s="21" t="s">
        <v>100</v>
      </c>
      <c r="F109" s="21">
        <v>90</v>
      </c>
      <c r="G109" s="21" t="b">
        <v>0</v>
      </c>
      <c r="H109" s="21" t="s">
        <v>276</v>
      </c>
      <c r="I109" s="21" t="s">
        <v>60</v>
      </c>
      <c r="J109" s="21" t="s">
        <v>365</v>
      </c>
      <c r="K109" s="21">
        <v>99.14</v>
      </c>
      <c r="M109" s="57">
        <v>85.84</v>
      </c>
      <c r="P109" s="55">
        <v>0.87229999999999996</v>
      </c>
      <c r="T109" s="21" t="s">
        <v>522</v>
      </c>
      <c r="AB109" s="21" t="str">
        <f t="shared" si="1"/>
        <v>Ours (weight_decay 0.0001, ps112, drop0.1, res_attn, stride112, eff_feat3, featured_patch_dim 40, emb_dim40)</v>
      </c>
    </row>
    <row r="110" spans="1:28" x14ac:dyDescent="0.4">
      <c r="A110" s="20" t="s">
        <v>520</v>
      </c>
      <c r="B110" s="21" t="s">
        <v>502</v>
      </c>
      <c r="C110" s="21" t="s">
        <v>275</v>
      </c>
      <c r="D110" s="21">
        <v>256</v>
      </c>
      <c r="E110" s="21" t="s">
        <v>100</v>
      </c>
      <c r="F110" s="21">
        <v>90</v>
      </c>
      <c r="G110" s="21" t="b">
        <v>0</v>
      </c>
      <c r="H110" s="21" t="s">
        <v>276</v>
      </c>
      <c r="I110" s="21" t="s">
        <v>60</v>
      </c>
      <c r="J110" s="21" t="s">
        <v>365</v>
      </c>
      <c r="K110" s="21">
        <v>99.06</v>
      </c>
      <c r="L110" s="21">
        <v>0.64680000000000004</v>
      </c>
      <c r="M110" s="57">
        <v>87.91</v>
      </c>
      <c r="P110" s="55">
        <v>0.88319999999999999</v>
      </c>
      <c r="T110" s="21" t="s">
        <v>523</v>
      </c>
      <c r="AB110" s="21" t="str">
        <f t="shared" si="1"/>
        <v>Ours (weight_decay 0.001, ps112, drop0.1, res_attn, stride112, eff_feat3, featured_patch_dim 40, emb_dim40)</v>
      </c>
    </row>
    <row r="111" spans="1:28" x14ac:dyDescent="0.4">
      <c r="A111" s="21" t="s">
        <v>521</v>
      </c>
      <c r="B111" s="21" t="s">
        <v>502</v>
      </c>
      <c r="C111" s="21" t="s">
        <v>275</v>
      </c>
      <c r="D111" s="21">
        <v>256</v>
      </c>
      <c r="E111" s="21" t="s">
        <v>100</v>
      </c>
      <c r="F111" s="21">
        <v>90</v>
      </c>
      <c r="G111" s="21" t="b">
        <v>0</v>
      </c>
      <c r="H111" s="21" t="s">
        <v>276</v>
      </c>
      <c r="I111" s="21" t="s">
        <v>60</v>
      </c>
      <c r="J111" s="21" t="s">
        <v>365</v>
      </c>
      <c r="K111" s="21">
        <v>99.38</v>
      </c>
      <c r="L111" s="21">
        <v>0.64049999999999996</v>
      </c>
      <c r="M111" s="57">
        <v>86.14</v>
      </c>
      <c r="P111" s="55">
        <v>0.874</v>
      </c>
      <c r="T111" s="21" t="s">
        <v>524</v>
      </c>
      <c r="AB111" s="21" t="str">
        <f t="shared" si="1"/>
        <v>Ours (weight_decay 0.01, ps112, drop0.1, res_attn, stride112, eff_feat3, featured_patch_dim 40, emb_dim40)</v>
      </c>
    </row>
    <row r="112" spans="1:28" x14ac:dyDescent="0.4">
      <c r="A112" s="20" t="s">
        <v>526</v>
      </c>
      <c r="B112" s="21" t="s">
        <v>502</v>
      </c>
      <c r="C112" s="21" t="s">
        <v>275</v>
      </c>
      <c r="D112" s="21">
        <v>256</v>
      </c>
      <c r="E112" s="21" t="s">
        <v>100</v>
      </c>
      <c r="F112" s="21">
        <v>90</v>
      </c>
      <c r="G112" s="21" t="b">
        <v>0</v>
      </c>
      <c r="H112" s="21" t="s">
        <v>276</v>
      </c>
      <c r="I112" s="21" t="s">
        <v>60</v>
      </c>
      <c r="J112" s="21" t="s">
        <v>365</v>
      </c>
      <c r="K112" s="21">
        <v>99.3</v>
      </c>
      <c r="L112" s="21">
        <v>0.62070000000000003</v>
      </c>
      <c r="M112" s="57">
        <v>86.43</v>
      </c>
      <c r="P112" s="55">
        <v>0.87080000000000002</v>
      </c>
      <c r="T112" s="21" t="s">
        <v>525</v>
      </c>
      <c r="AB112" s="21" t="str">
        <f t="shared" si="1"/>
        <v>Ours (weight_decay 0.1, ps112, drop0.1, res_attn, stride112, eff_feat3, featured_patch_dim 40, emb_dim40)</v>
      </c>
    </row>
    <row r="113" spans="1:28" x14ac:dyDescent="0.4">
      <c r="A113" s="21" t="s">
        <v>528</v>
      </c>
      <c r="B113" s="21" t="s">
        <v>502</v>
      </c>
      <c r="C113" s="21" t="s">
        <v>275</v>
      </c>
      <c r="D113" s="21">
        <v>256</v>
      </c>
      <c r="E113" s="21" t="s">
        <v>100</v>
      </c>
      <c r="F113" s="21">
        <v>90</v>
      </c>
      <c r="G113" s="21" t="b">
        <v>0</v>
      </c>
      <c r="H113" s="21" t="s">
        <v>276</v>
      </c>
      <c r="I113" s="21" t="s">
        <v>60</v>
      </c>
      <c r="J113" s="21" t="s">
        <v>365</v>
      </c>
      <c r="K113" s="21">
        <v>99.45</v>
      </c>
      <c r="L113" s="21">
        <v>0.75939999999999996</v>
      </c>
      <c r="M113" s="57">
        <v>87.02</v>
      </c>
      <c r="P113" s="55">
        <v>0.87570000000000003</v>
      </c>
      <c r="T113" s="21" t="s">
        <v>532</v>
      </c>
      <c r="AB113" s="21" t="str">
        <f t="shared" si="1"/>
        <v>Ours (weight_decay 0.0001, ps112, drop0.2, res_attn, stride112, eff_feat3, featured_patch_dim 40, emb_dim40)</v>
      </c>
    </row>
    <row r="114" spans="1:28" x14ac:dyDescent="0.4">
      <c r="A114" s="21" t="s">
        <v>529</v>
      </c>
      <c r="B114" s="21" t="s">
        <v>502</v>
      </c>
      <c r="C114" s="21" t="s">
        <v>275</v>
      </c>
      <c r="D114" s="21">
        <v>256</v>
      </c>
      <c r="E114" s="21" t="s">
        <v>100</v>
      </c>
      <c r="F114" s="21">
        <v>90</v>
      </c>
      <c r="G114" s="21" t="b">
        <v>0</v>
      </c>
      <c r="H114" s="21" t="s">
        <v>276</v>
      </c>
      <c r="I114" s="21" t="s">
        <v>60</v>
      </c>
      <c r="J114" s="21" t="s">
        <v>365</v>
      </c>
      <c r="K114" s="21">
        <v>99.53</v>
      </c>
      <c r="L114" s="21">
        <v>0.72660000000000002</v>
      </c>
      <c r="M114" s="57">
        <v>84.37</v>
      </c>
      <c r="P114" s="55">
        <v>0.8579</v>
      </c>
      <c r="T114" s="21" t="s">
        <v>533</v>
      </c>
      <c r="AB114" s="21" t="str">
        <f t="shared" si="1"/>
        <v>Ours (weight_decay 0.001, ps112, drop0.2, res_attn, stride112, eff_feat3, featured_patch_dim 40, emb_dim40)</v>
      </c>
    </row>
    <row r="115" spans="1:28" x14ac:dyDescent="0.4">
      <c r="A115" s="21" t="s">
        <v>530</v>
      </c>
      <c r="B115" s="21" t="s">
        <v>502</v>
      </c>
      <c r="C115" s="21" t="s">
        <v>275</v>
      </c>
      <c r="D115" s="21">
        <v>256</v>
      </c>
      <c r="E115" s="21" t="s">
        <v>100</v>
      </c>
      <c r="F115" s="21">
        <v>90</v>
      </c>
      <c r="G115" s="21" t="b">
        <v>0</v>
      </c>
      <c r="H115" s="21" t="s">
        <v>276</v>
      </c>
      <c r="I115" s="21" t="s">
        <v>60</v>
      </c>
      <c r="J115" s="21" t="s">
        <v>365</v>
      </c>
      <c r="K115" s="21">
        <v>99.38</v>
      </c>
      <c r="L115" s="21">
        <v>0.75480000000000003</v>
      </c>
      <c r="M115" s="57">
        <v>86.14</v>
      </c>
      <c r="P115" s="55">
        <v>0.87190000000000001</v>
      </c>
      <c r="T115" s="21" t="s">
        <v>534</v>
      </c>
      <c r="AB115" s="21" t="str">
        <f t="shared" si="1"/>
        <v>Ours (weight_decay 0.01, ps112, drop0.2, res_attn, stride112, eff_feat3, featured_patch_dim 40, emb_dim40)</v>
      </c>
    </row>
    <row r="116" spans="1:28" x14ac:dyDescent="0.4">
      <c r="A116" s="21" t="s">
        <v>531</v>
      </c>
      <c r="B116" s="21" t="s">
        <v>502</v>
      </c>
      <c r="C116" s="21" t="s">
        <v>275</v>
      </c>
      <c r="D116" s="21">
        <v>256</v>
      </c>
      <c r="E116" s="21" t="s">
        <v>100</v>
      </c>
      <c r="F116" s="21">
        <v>90</v>
      </c>
      <c r="G116" s="21" t="b">
        <v>0</v>
      </c>
      <c r="H116" s="21" t="s">
        <v>276</v>
      </c>
      <c r="I116" s="21" t="s">
        <v>60</v>
      </c>
      <c r="J116" s="21" t="s">
        <v>365</v>
      </c>
      <c r="K116" s="21">
        <v>99.53</v>
      </c>
      <c r="L116" s="21">
        <v>0.80320000000000003</v>
      </c>
      <c r="M116" s="57">
        <v>86.14</v>
      </c>
      <c r="P116" s="55">
        <v>0.87119999999999997</v>
      </c>
      <c r="T116" s="21" t="s">
        <v>535</v>
      </c>
      <c r="AB116" s="21" t="str">
        <f t="shared" si="1"/>
        <v>Ours (weight_decay 0.1, ps112, drop0.2, res_attn, stride112, eff_feat3, featured_patch_dim 40, emb_dim40)</v>
      </c>
    </row>
    <row r="117" spans="1:28" x14ac:dyDescent="0.4">
      <c r="A117" s="21" t="s">
        <v>536</v>
      </c>
      <c r="B117" s="21" t="s">
        <v>502</v>
      </c>
      <c r="C117" s="21" t="s">
        <v>275</v>
      </c>
      <c r="D117" s="21">
        <v>256</v>
      </c>
      <c r="E117" s="21" t="s">
        <v>100</v>
      </c>
      <c r="F117" s="21">
        <v>91</v>
      </c>
      <c r="G117" s="21" t="b">
        <v>0</v>
      </c>
      <c r="H117" s="21" t="s">
        <v>276</v>
      </c>
      <c r="I117" s="21" t="s">
        <v>60</v>
      </c>
      <c r="J117" s="21" t="s">
        <v>365</v>
      </c>
      <c r="L117" s="21" t="s">
        <v>544</v>
      </c>
      <c r="T117" s="21" t="s">
        <v>537</v>
      </c>
      <c r="AB117" s="21" t="str">
        <f t="shared" si="1"/>
        <v>Ours (weight_decay 0.0001, ps112, drop0.1, res_attn, stride112, eff_feat3, featured_patch_dim 40, emb_dim24)</v>
      </c>
    </row>
    <row r="118" spans="1:28" x14ac:dyDescent="0.4">
      <c r="A118" s="21" t="s">
        <v>538</v>
      </c>
      <c r="B118" s="21" t="s">
        <v>502</v>
      </c>
      <c r="C118" s="21" t="s">
        <v>275</v>
      </c>
      <c r="D118" s="21">
        <v>256</v>
      </c>
      <c r="E118" s="21" t="s">
        <v>100</v>
      </c>
      <c r="F118" s="21">
        <v>92</v>
      </c>
      <c r="G118" s="21" t="b">
        <v>0</v>
      </c>
      <c r="H118" s="21" t="s">
        <v>276</v>
      </c>
      <c r="I118" s="21" t="s">
        <v>60</v>
      </c>
      <c r="J118" s="21" t="s">
        <v>365</v>
      </c>
      <c r="L118" s="21" t="s">
        <v>544</v>
      </c>
      <c r="T118" s="21" t="s">
        <v>539</v>
      </c>
      <c r="AB118" s="21" t="str">
        <f t="shared" si="1"/>
        <v>Ours (weight_decay 0.0001, ps112, drop0.1, res_attn, stride56, eff_feat3, featured_patch_dim 40, emb_dim24)</v>
      </c>
    </row>
    <row r="119" spans="1:28" x14ac:dyDescent="0.4">
      <c r="A119" s="21" t="s">
        <v>541</v>
      </c>
      <c r="B119" s="21" t="s">
        <v>503</v>
      </c>
      <c r="C119" s="21" t="s">
        <v>275</v>
      </c>
      <c r="D119" s="21">
        <v>256</v>
      </c>
      <c r="E119" s="21" t="s">
        <v>100</v>
      </c>
      <c r="F119" s="21">
        <v>94</v>
      </c>
      <c r="G119" s="21" t="b">
        <v>0</v>
      </c>
      <c r="H119" s="21" t="s">
        <v>276</v>
      </c>
      <c r="I119" s="21" t="s">
        <v>60</v>
      </c>
      <c r="J119" s="21" t="s">
        <v>365</v>
      </c>
      <c r="L119" s="21" t="s">
        <v>544</v>
      </c>
      <c r="T119" s="21" t="s">
        <v>540</v>
      </c>
      <c r="AB119" s="21" t="str">
        <f t="shared" si="1"/>
        <v>Ours (weight_decay 0.0001, ps112, drop0.1, ps150, stride75, eff_feat3, featured_patch_dim 40, emb_dim24)</v>
      </c>
    </row>
    <row r="120" spans="1:28" x14ac:dyDescent="0.4">
      <c r="A120" s="21" t="s">
        <v>513</v>
      </c>
      <c r="B120" s="21" t="s">
        <v>502</v>
      </c>
      <c r="C120" s="21" t="s">
        <v>275</v>
      </c>
      <c r="D120" s="21">
        <v>256</v>
      </c>
      <c r="E120" s="21" t="s">
        <v>100</v>
      </c>
      <c r="F120" s="21">
        <v>95</v>
      </c>
      <c r="G120" s="21" t="b">
        <v>0</v>
      </c>
      <c r="H120" s="21" t="s">
        <v>470</v>
      </c>
      <c r="I120" s="21" t="s">
        <v>471</v>
      </c>
      <c r="J120" s="21" t="s">
        <v>365</v>
      </c>
      <c r="T120" s="21" t="s">
        <v>542</v>
      </c>
      <c r="AB120" s="21" t="str">
        <f t="shared" si="1"/>
        <v>Ours (weight_decay 0.0001, ps112, drop0.1, res_attn, stride112, eff_feat3, featured_patch_dim 40, emb_dim40)</v>
      </c>
    </row>
    <row r="121" spans="1:28" x14ac:dyDescent="0.4">
      <c r="A121" s="21" t="s">
        <v>511</v>
      </c>
      <c r="B121" s="21" t="s">
        <v>502</v>
      </c>
      <c r="C121" s="21" t="s">
        <v>275</v>
      </c>
      <c r="D121" s="21">
        <v>256</v>
      </c>
      <c r="E121" s="21" t="s">
        <v>100</v>
      </c>
      <c r="F121" s="21">
        <v>95</v>
      </c>
      <c r="G121" s="21" t="b">
        <v>0</v>
      </c>
      <c r="H121" s="21" t="s">
        <v>470</v>
      </c>
      <c r="I121" s="21" t="s">
        <v>471</v>
      </c>
      <c r="J121" s="21" t="s">
        <v>365</v>
      </c>
      <c r="T121" s="21" t="s">
        <v>543</v>
      </c>
      <c r="AB121" s="21" t="str">
        <f t="shared" si="1"/>
        <v>Ours (weight_decay 0.0001, ps112, drop0.1, res_attn, stride56, eff_feat3, featured_patch_dim 40, emb_dim40)</v>
      </c>
    </row>
    <row r="122" spans="1:28" x14ac:dyDescent="0.4">
      <c r="A122" s="20" t="s">
        <v>551</v>
      </c>
      <c r="B122" s="21" t="s">
        <v>502</v>
      </c>
      <c r="C122" s="21" t="s">
        <v>275</v>
      </c>
      <c r="D122" s="21">
        <v>256</v>
      </c>
      <c r="E122" s="21" t="s">
        <v>100</v>
      </c>
      <c r="F122" s="21">
        <v>92</v>
      </c>
      <c r="G122" s="21" t="b">
        <v>0</v>
      </c>
      <c r="H122" s="21" t="s">
        <v>276</v>
      </c>
      <c r="I122" s="21" t="s">
        <v>60</v>
      </c>
      <c r="J122" s="21" t="s">
        <v>365</v>
      </c>
      <c r="K122" s="21">
        <v>90.55</v>
      </c>
      <c r="L122" s="21">
        <v>0.39560000000000001</v>
      </c>
      <c r="M122" s="57">
        <v>84.66</v>
      </c>
      <c r="P122" s="55">
        <v>0.85060000000000002</v>
      </c>
      <c r="T122" s="21" t="s">
        <v>545</v>
      </c>
      <c r="AB122" s="21" t="str">
        <f t="shared" si="1"/>
        <v>Ours (weight_decay 0.1, ps112, drop0.1, res_attn, stride112, eff_feat3, featured_patch_dim 40, emb_dim40, lr0.0001)</v>
      </c>
    </row>
    <row r="123" spans="1:28" x14ac:dyDescent="0.4">
      <c r="A123" s="21" t="s">
        <v>546</v>
      </c>
      <c r="B123" s="21" t="s">
        <v>502</v>
      </c>
      <c r="C123" s="21" t="s">
        <v>275</v>
      </c>
      <c r="D123" s="21">
        <v>256</v>
      </c>
      <c r="E123" s="21" t="s">
        <v>100</v>
      </c>
      <c r="F123" s="21">
        <v>92</v>
      </c>
      <c r="G123" s="21" t="b">
        <v>0</v>
      </c>
      <c r="H123" s="21" t="s">
        <v>276</v>
      </c>
      <c r="I123" s="21" t="s">
        <v>60</v>
      </c>
      <c r="J123" s="21" t="s">
        <v>365</v>
      </c>
      <c r="K123" s="21">
        <v>90.31</v>
      </c>
      <c r="L123" s="21">
        <v>0.39560000000000001</v>
      </c>
      <c r="M123" s="57">
        <v>84.96</v>
      </c>
      <c r="P123" s="55">
        <v>0.85299999999999998</v>
      </c>
      <c r="T123" s="21" t="s">
        <v>547</v>
      </c>
      <c r="AB123" s="21" t="str">
        <f t="shared" si="1"/>
        <v>Ours (weight_decay 0.01, ps112, drop0.1, res_attn, stride112, eff_feat3, featured_patch_dim 40, emb_dim40, lr0.0001)</v>
      </c>
    </row>
    <row r="124" spans="1:28" x14ac:dyDescent="0.4">
      <c r="A124" s="21" t="s">
        <v>548</v>
      </c>
      <c r="B124" s="21" t="s">
        <v>502</v>
      </c>
      <c r="C124" s="21" t="s">
        <v>275</v>
      </c>
      <c r="D124" s="21">
        <v>256</v>
      </c>
      <c r="E124" s="21" t="s">
        <v>100</v>
      </c>
      <c r="F124" s="21">
        <v>92</v>
      </c>
      <c r="G124" s="21" t="b">
        <v>0</v>
      </c>
      <c r="H124" s="21" t="s">
        <v>276</v>
      </c>
      <c r="I124" s="21" t="s">
        <v>60</v>
      </c>
      <c r="J124" s="21" t="s">
        <v>365</v>
      </c>
      <c r="K124" s="21">
        <v>99.22</v>
      </c>
      <c r="L124" s="21">
        <v>0.65159999999999996</v>
      </c>
      <c r="M124" s="57">
        <v>85.25</v>
      </c>
      <c r="P124" s="55">
        <v>0.85960000000000003</v>
      </c>
      <c r="T124" s="21" t="s">
        <v>549</v>
      </c>
      <c r="AB124" s="21" t="str">
        <f t="shared" si="1"/>
        <v>Ours (weight_decay 0.01, ps112, drop0.1, res_attn, stride112, eff_feat3, featured_patch_dim 40, emb_dim40, lr0.0005)</v>
      </c>
    </row>
    <row r="125" spans="1:28" x14ac:dyDescent="0.4">
      <c r="A125" s="21" t="s">
        <v>550</v>
      </c>
      <c r="B125" s="21" t="s">
        <v>502</v>
      </c>
      <c r="C125" s="21" t="s">
        <v>275</v>
      </c>
      <c r="D125" s="21">
        <v>256</v>
      </c>
      <c r="E125" s="21" t="s">
        <v>100</v>
      </c>
      <c r="F125" s="21">
        <v>92</v>
      </c>
      <c r="G125" s="21" t="b">
        <v>0</v>
      </c>
      <c r="H125" s="21" t="s">
        <v>276</v>
      </c>
      <c r="I125" s="21" t="s">
        <v>60</v>
      </c>
      <c r="J125" s="21" t="s">
        <v>365</v>
      </c>
      <c r="L125" s="21" t="s">
        <v>557</v>
      </c>
      <c r="T125" s="21" t="s">
        <v>552</v>
      </c>
      <c r="AB125" s="21" t="str">
        <f t="shared" si="1"/>
        <v>Ours (weight_decay 0.1, ps112, drop0.4, res_attn, stride112, eff_feat3, featured_patch_dim 40, emb_dim40, lr0.0001)</v>
      </c>
    </row>
    <row r="126" spans="1:28" x14ac:dyDescent="0.4">
      <c r="A126" s="21" t="s">
        <v>553</v>
      </c>
      <c r="B126" s="21" t="s">
        <v>502</v>
      </c>
      <c r="C126" s="21" t="s">
        <v>275</v>
      </c>
      <c r="D126" s="21">
        <v>256</v>
      </c>
      <c r="E126" s="21" t="s">
        <v>100</v>
      </c>
      <c r="F126" s="21">
        <v>92</v>
      </c>
      <c r="G126" s="21" t="b">
        <v>0</v>
      </c>
      <c r="H126" s="21" t="s">
        <v>276</v>
      </c>
      <c r="I126" s="21" t="s">
        <v>60</v>
      </c>
      <c r="J126" s="21" t="s">
        <v>365</v>
      </c>
      <c r="L126" s="21" t="s">
        <v>557</v>
      </c>
      <c r="T126" s="21" t="s">
        <v>554</v>
      </c>
      <c r="AB126" s="21" t="str">
        <f t="shared" si="1"/>
        <v>Ours (weight_decay 0.001, ps112, drop0.4, res_attn, stride112, eff_feat3, featured_patch_dim 40, emb_dim40, lr0.0001)</v>
      </c>
    </row>
    <row r="127" spans="1:28" x14ac:dyDescent="0.4">
      <c r="A127" s="21" t="s">
        <v>555</v>
      </c>
      <c r="B127" s="21" t="s">
        <v>502</v>
      </c>
      <c r="C127" s="21" t="s">
        <v>275</v>
      </c>
      <c r="D127" s="21">
        <v>256</v>
      </c>
      <c r="E127" s="21" t="s">
        <v>100</v>
      </c>
      <c r="F127" s="21">
        <v>92</v>
      </c>
      <c r="G127" s="21" t="b">
        <v>0</v>
      </c>
      <c r="H127" s="21" t="s">
        <v>276</v>
      </c>
      <c r="I127" s="21" t="s">
        <v>60</v>
      </c>
      <c r="J127" s="21" t="s">
        <v>365</v>
      </c>
      <c r="L127" s="21" t="s">
        <v>557</v>
      </c>
      <c r="T127" s="21" t="s">
        <v>558</v>
      </c>
      <c r="AB127" s="21" t="str">
        <f t="shared" si="1"/>
        <v>Ours (weight_decay 0.001, ps112, drop0.4, stride112, eff_feat3, featured_patch_dim 40, emb_dim40, lr0.0001)</v>
      </c>
    </row>
    <row r="128" spans="1:28" x14ac:dyDescent="0.4">
      <c r="A128" s="21" t="s">
        <v>559</v>
      </c>
      <c r="B128" s="21" t="s">
        <v>502</v>
      </c>
      <c r="C128" s="21" t="s">
        <v>275</v>
      </c>
      <c r="D128" s="21">
        <v>256</v>
      </c>
      <c r="E128" s="21" t="s">
        <v>100</v>
      </c>
      <c r="F128" s="21">
        <v>92</v>
      </c>
      <c r="G128" s="21" t="b">
        <v>0</v>
      </c>
      <c r="H128" s="21" t="s">
        <v>276</v>
      </c>
      <c r="I128" s="21" t="s">
        <v>471</v>
      </c>
      <c r="J128" s="21" t="s">
        <v>365</v>
      </c>
      <c r="K128" s="21">
        <v>87.58</v>
      </c>
      <c r="L128" s="21">
        <v>0.39050000000000001</v>
      </c>
      <c r="M128" s="57">
        <v>84.66</v>
      </c>
      <c r="P128" s="55">
        <v>0.85060000000000002</v>
      </c>
      <c r="T128" s="21" t="s">
        <v>562</v>
      </c>
      <c r="AB128" s="21" t="str">
        <f t="shared" si="1"/>
        <v>Ours (weight_decay 0.01, ps112, drop0.1, stride112, eff_feat3, featured_patch_dim 40, emb_dim40, lr0.0001)</v>
      </c>
    </row>
    <row r="129" spans="1:28" x14ac:dyDescent="0.4">
      <c r="A129" s="21" t="s">
        <v>560</v>
      </c>
      <c r="B129" s="21" t="s">
        <v>502</v>
      </c>
      <c r="C129" s="21" t="s">
        <v>275</v>
      </c>
      <c r="D129" s="21">
        <v>256</v>
      </c>
      <c r="E129" s="21" t="s">
        <v>100</v>
      </c>
      <c r="F129" s="21">
        <v>92</v>
      </c>
      <c r="G129" s="21" t="b">
        <v>0</v>
      </c>
      <c r="H129" s="21" t="s">
        <v>276</v>
      </c>
      <c r="I129" s="21" t="s">
        <v>471</v>
      </c>
      <c r="J129" s="21" t="s">
        <v>365</v>
      </c>
      <c r="K129" s="21">
        <v>86.88</v>
      </c>
      <c r="L129" s="21">
        <v>0.3987</v>
      </c>
      <c r="M129" s="57">
        <v>85.25</v>
      </c>
      <c r="P129" s="55">
        <v>0.85029999999999994</v>
      </c>
      <c r="T129" s="21" t="s">
        <v>563</v>
      </c>
      <c r="AB129" s="21" t="str">
        <f t="shared" ref="AB129:AB145" si="2">A129</f>
        <v>Ours (weight_decay 0.01, ps112, drop0.1, stride112, eff_feat3, featured_patch_dim 40, emb_dim24, lr0.0001)</v>
      </c>
    </row>
    <row r="130" spans="1:28" x14ac:dyDescent="0.4">
      <c r="A130" s="21" t="s">
        <v>561</v>
      </c>
      <c r="B130" s="21" t="s">
        <v>502</v>
      </c>
      <c r="C130" s="21" t="s">
        <v>275</v>
      </c>
      <c r="D130" s="21">
        <v>256</v>
      </c>
      <c r="E130" s="21" t="s">
        <v>100</v>
      </c>
      <c r="F130" s="21">
        <v>92</v>
      </c>
      <c r="G130" s="21" t="b">
        <v>0</v>
      </c>
      <c r="H130" s="21" t="s">
        <v>276</v>
      </c>
      <c r="I130" s="21" t="s">
        <v>471</v>
      </c>
      <c r="J130" s="21" t="s">
        <v>365</v>
      </c>
      <c r="K130" s="21">
        <v>85.47</v>
      </c>
      <c r="L130" s="21">
        <v>0.39400000000000002</v>
      </c>
      <c r="M130" s="57">
        <v>86.14</v>
      </c>
      <c r="P130" s="55">
        <v>0.86460000000000004</v>
      </c>
      <c r="T130" s="21" t="s">
        <v>564</v>
      </c>
      <c r="AB130" s="21" t="str">
        <f t="shared" si="2"/>
        <v>Ours (weight_decay 0.01, ps112, drop0.1, stride112, eff_feat3, featured_patch_dim 40, emb_dim24, lr0.0001, decoderlayes1)</v>
      </c>
    </row>
    <row r="131" spans="1:28" x14ac:dyDescent="0.4">
      <c r="A131" s="20" t="s">
        <v>565</v>
      </c>
      <c r="B131" s="21" t="s">
        <v>502</v>
      </c>
      <c r="C131" s="21" t="s">
        <v>275</v>
      </c>
      <c r="D131" s="21">
        <v>256</v>
      </c>
      <c r="E131" s="21" t="s">
        <v>100</v>
      </c>
      <c r="F131" s="21">
        <v>90</v>
      </c>
      <c r="G131" s="21" t="b">
        <v>0</v>
      </c>
      <c r="H131" s="21" t="s">
        <v>276</v>
      </c>
      <c r="I131" s="21" t="s">
        <v>60</v>
      </c>
      <c r="J131" s="21" t="s">
        <v>365</v>
      </c>
      <c r="K131" s="21">
        <v>90.78</v>
      </c>
      <c r="L131" s="21">
        <v>0.37590000000000001</v>
      </c>
      <c r="M131" s="57">
        <v>88.2</v>
      </c>
      <c r="P131" s="55">
        <v>0.8851</v>
      </c>
      <c r="T131" s="21" t="s">
        <v>566</v>
      </c>
      <c r="AB131" s="21" t="str">
        <f t="shared" si="2"/>
        <v>Ours (weight_decay 0.0001, ps112, drop0.1, res_attn, stride112)</v>
      </c>
    </row>
    <row r="132" spans="1:28" x14ac:dyDescent="0.4">
      <c r="A132" s="21" t="s">
        <v>573</v>
      </c>
      <c r="B132" s="21" t="s">
        <v>502</v>
      </c>
      <c r="C132" s="21" t="s">
        <v>275</v>
      </c>
      <c r="D132" s="21">
        <v>256</v>
      </c>
      <c r="E132" s="21" t="s">
        <v>100</v>
      </c>
      <c r="F132" s="21">
        <v>90</v>
      </c>
      <c r="G132" s="21" t="b">
        <v>0</v>
      </c>
      <c r="H132" s="21" t="s">
        <v>276</v>
      </c>
      <c r="I132" s="21" t="s">
        <v>60</v>
      </c>
      <c r="J132" s="21" t="s">
        <v>365</v>
      </c>
      <c r="K132" s="21">
        <v>92.58</v>
      </c>
      <c r="L132" s="21">
        <v>0.42659999999999998</v>
      </c>
      <c r="M132" s="57">
        <v>87.61</v>
      </c>
      <c r="P132" s="55">
        <v>0.88400000000000001</v>
      </c>
      <c r="T132" s="21" t="s">
        <v>569</v>
      </c>
      <c r="AB132" s="21" t="str">
        <f t="shared" si="2"/>
        <v>Ours (weight_decay 0.0001, ps112, drop0.1, res_attn, stride112, scheduler none, lr 0.001)</v>
      </c>
    </row>
    <row r="133" spans="1:28" x14ac:dyDescent="0.4">
      <c r="A133" s="21" t="s">
        <v>583</v>
      </c>
      <c r="AB133" s="21" t="str">
        <f t="shared" si="2"/>
        <v>시작하자마자 20 에포크 이전에 이미 val loss가 최소치로 내려가고, 그 이후로 정체됨</v>
      </c>
    </row>
    <row r="134" spans="1:28" x14ac:dyDescent="0.4">
      <c r="A134" s="21" t="s">
        <v>570</v>
      </c>
      <c r="B134" s="21" t="s">
        <v>502</v>
      </c>
      <c r="C134" s="21" t="s">
        <v>275</v>
      </c>
      <c r="D134" s="21">
        <v>256</v>
      </c>
      <c r="E134" s="21" t="s">
        <v>100</v>
      </c>
      <c r="F134" s="21">
        <v>90</v>
      </c>
      <c r="G134" s="21" t="b">
        <v>0</v>
      </c>
      <c r="H134" s="21" t="s">
        <v>276</v>
      </c>
      <c r="I134" s="21" t="s">
        <v>60</v>
      </c>
      <c r="J134" s="21" t="s">
        <v>365</v>
      </c>
      <c r="K134" s="21">
        <v>90.47</v>
      </c>
      <c r="L134" s="21">
        <v>0.33629999999999999</v>
      </c>
      <c r="M134" s="57">
        <v>88.5</v>
      </c>
      <c r="P134" s="55">
        <v>0.89080000000000004</v>
      </c>
      <c r="T134" s="21" t="s">
        <v>571</v>
      </c>
      <c r="AB134" s="21" t="str">
        <f t="shared" si="2"/>
        <v>Ours (weight_decay 0.0001, ps112, drop0.1, res_attn, stride112, Tmax20)</v>
      </c>
    </row>
    <row r="135" spans="1:28" x14ac:dyDescent="0.4">
      <c r="A135" s="21" t="s">
        <v>572</v>
      </c>
      <c r="B135" s="21" t="s">
        <v>502</v>
      </c>
      <c r="C135" s="21" t="s">
        <v>275</v>
      </c>
      <c r="D135" s="21">
        <v>256</v>
      </c>
      <c r="E135" s="21" t="s">
        <v>100</v>
      </c>
      <c r="F135" s="21">
        <v>90</v>
      </c>
      <c r="G135" s="21" t="b">
        <v>0</v>
      </c>
      <c r="H135" s="21" t="s">
        <v>276</v>
      </c>
      <c r="I135" s="21" t="s">
        <v>60</v>
      </c>
      <c r="J135" s="21" t="s">
        <v>365</v>
      </c>
      <c r="K135" s="21">
        <v>86.88</v>
      </c>
      <c r="L135" s="21">
        <v>0.36930000000000002</v>
      </c>
      <c r="M135" s="57">
        <v>85.84</v>
      </c>
      <c r="P135" s="55">
        <v>0.86439999999999995</v>
      </c>
      <c r="T135" s="21" t="s">
        <v>574</v>
      </c>
      <c r="AB135" s="21" t="str">
        <f t="shared" si="2"/>
        <v>Ours (weight_decay 0.0001, ps112, drop0.1, res_attn, stride112, scheduler none, lr 0.0001)</v>
      </c>
    </row>
    <row r="136" spans="1:28" x14ac:dyDescent="0.4">
      <c r="A136" s="21" t="s">
        <v>582</v>
      </c>
      <c r="AB136" s="21" t="str">
        <f t="shared" si="2"/>
        <v>90에포크까지 천천히 지속적으로 val loss가 감소함</v>
      </c>
    </row>
    <row r="137" spans="1:28" x14ac:dyDescent="0.4">
      <c r="A137" s="21" t="s">
        <v>576</v>
      </c>
      <c r="B137" s="21" t="s">
        <v>502</v>
      </c>
      <c r="C137" s="21" t="s">
        <v>275</v>
      </c>
      <c r="D137" s="21">
        <v>256</v>
      </c>
      <c r="E137" s="21" t="s">
        <v>100</v>
      </c>
      <c r="F137" s="21">
        <v>90</v>
      </c>
      <c r="G137" s="21" t="b">
        <v>0</v>
      </c>
      <c r="H137" s="21" t="s">
        <v>276</v>
      </c>
      <c r="I137" s="21" t="s">
        <v>60</v>
      </c>
      <c r="J137" s="21" t="s">
        <v>365</v>
      </c>
      <c r="K137" s="21">
        <v>92.66</v>
      </c>
      <c r="L137" s="21">
        <v>0.38629999999999998</v>
      </c>
      <c r="M137" s="57">
        <v>88.2</v>
      </c>
      <c r="P137" s="55">
        <v>0.88890000000000002</v>
      </c>
      <c r="T137" s="21" t="s">
        <v>577</v>
      </c>
      <c r="AB137" s="21" t="str">
        <f t="shared" si="2"/>
        <v>Ours (weight_decay 0.0001, ps112, drop0.1, res_attn, stride112, Tmax30)</v>
      </c>
    </row>
    <row r="138" spans="1:28" x14ac:dyDescent="0.4">
      <c r="A138" s="21" t="s">
        <v>578</v>
      </c>
      <c r="B138" s="21" t="s">
        <v>502</v>
      </c>
      <c r="C138" s="21" t="s">
        <v>275</v>
      </c>
      <c r="D138" s="21">
        <v>256</v>
      </c>
      <c r="E138" s="21" t="s">
        <v>100</v>
      </c>
      <c r="F138" s="21">
        <v>90</v>
      </c>
      <c r="G138" s="21" t="b">
        <v>0</v>
      </c>
      <c r="H138" s="21" t="s">
        <v>276</v>
      </c>
      <c r="I138" s="21" t="s">
        <v>60</v>
      </c>
      <c r="J138" s="21" t="s">
        <v>365</v>
      </c>
      <c r="K138" s="21">
        <v>92.97</v>
      </c>
      <c r="L138" s="21">
        <v>0.36909999999999998</v>
      </c>
      <c r="M138" s="57">
        <v>88.5</v>
      </c>
      <c r="P138" s="55">
        <v>0.88500000000000001</v>
      </c>
      <c r="T138" s="21" t="s">
        <v>579</v>
      </c>
      <c r="AB138" s="21" t="str">
        <f t="shared" si="2"/>
        <v>Ours (weight_decay 0.0001, ps112, drop0.1, res_attn, stride112, Tmax30, decoderpatch2)</v>
      </c>
    </row>
    <row r="139" spans="1:28" x14ac:dyDescent="0.4">
      <c r="A139" s="21" t="s">
        <v>580</v>
      </c>
      <c r="K139" s="21">
        <v>83.67</v>
      </c>
      <c r="L139" s="21">
        <v>0.4042</v>
      </c>
      <c r="M139" s="57">
        <v>85.84</v>
      </c>
      <c r="P139" s="55">
        <v>0.85960000000000003</v>
      </c>
      <c r="T139" s="21" t="s">
        <v>581</v>
      </c>
      <c r="AB139" s="21" t="str">
        <f t="shared" si="2"/>
        <v>Ours (weight_decay 0.0001, ps112, drop0.1, res_attn, stride112, Tmax30, lr 0.0001)</v>
      </c>
    </row>
    <row r="140" spans="1:28" x14ac:dyDescent="0.4">
      <c r="A140" s="21" t="s">
        <v>585</v>
      </c>
      <c r="AB140" s="21" t="str">
        <f t="shared" si="2"/>
        <v>val loss가 감소하긴 하는데 너무 큼. 코싸인 어닝하더라도 시작 lr 이 0.0001은 너무 작다.</v>
      </c>
    </row>
    <row r="141" spans="1:28" x14ac:dyDescent="0.4">
      <c r="A141" s="21" t="s">
        <v>575</v>
      </c>
      <c r="K141" s="21">
        <v>92.81</v>
      </c>
      <c r="L141" s="21">
        <v>0.39279999999999998</v>
      </c>
      <c r="M141" s="57">
        <v>86.43</v>
      </c>
      <c r="P141" s="55">
        <v>0.87150000000000005</v>
      </c>
      <c r="T141" s="21" t="s">
        <v>584</v>
      </c>
      <c r="AB141" s="21" t="str">
        <f t="shared" si="2"/>
        <v>Ours (weight_decay 0.0001, ps56, drop0.1, res_attn, stride28)</v>
      </c>
    </row>
    <row r="142" spans="1:28" x14ac:dyDescent="0.4">
      <c r="A142" s="20" t="s">
        <v>509</v>
      </c>
      <c r="K142" s="21">
        <v>90.62</v>
      </c>
      <c r="L142" s="21">
        <v>0.36030000000000001</v>
      </c>
      <c r="M142" s="57">
        <v>88.5</v>
      </c>
      <c r="P142" s="55">
        <v>0.89080000000000004</v>
      </c>
      <c r="T142" s="21" t="s">
        <v>586</v>
      </c>
      <c r="AB142" s="21" t="str">
        <f t="shared" si="2"/>
        <v>Ours (weight_decay 0.0001, ps112, drop0.1, res_attn, stride56)</v>
      </c>
    </row>
    <row r="143" spans="1:28" x14ac:dyDescent="0.4">
      <c r="A143" s="21" t="s">
        <v>588</v>
      </c>
      <c r="K143" s="21">
        <v>83.52</v>
      </c>
      <c r="L143" s="21">
        <v>0.42659999999999998</v>
      </c>
      <c r="M143" s="57">
        <v>83.19</v>
      </c>
      <c r="P143" s="55">
        <v>0.8357</v>
      </c>
      <c r="T143" s="21" t="s">
        <v>587</v>
      </c>
      <c r="AB143" s="21" t="str">
        <f t="shared" si="2"/>
        <v>Ours (weight_decay 0.0001, ps112, drop0.1, res_attn, stride112, mobilev4_feat1, fpd32, embdim32)</v>
      </c>
    </row>
    <row r="144" spans="1:28" x14ac:dyDescent="0.4">
      <c r="A144" s="21" t="s">
        <v>589</v>
      </c>
      <c r="K144" s="21">
        <v>94.14</v>
      </c>
      <c r="L144" s="21">
        <v>0.42009999999999997</v>
      </c>
      <c r="M144" s="57">
        <v>83.48</v>
      </c>
      <c r="P144" s="55">
        <v>0.84699999999999998</v>
      </c>
      <c r="T144" s="21" t="s">
        <v>590</v>
      </c>
      <c r="AB144" s="21" t="str">
        <f t="shared" si="2"/>
        <v>Ours (weight_decay 0.0001, ps112, drop0.1, res_attn, stride112, mobilev3_feat3)</v>
      </c>
    </row>
    <row r="145" spans="1:28" x14ac:dyDescent="0.4">
      <c r="A145" s="21" t="s">
        <v>591</v>
      </c>
      <c r="K145" s="21">
        <v>99.45</v>
      </c>
      <c r="L145" s="21">
        <v>0.75929999999999997</v>
      </c>
      <c r="M145" s="57">
        <v>86.73</v>
      </c>
      <c r="P145" s="55">
        <v>0.86319999999999997</v>
      </c>
      <c r="T145" s="21" t="s">
        <v>592</v>
      </c>
      <c r="AB145" s="21" t="str">
        <f t="shared" si="2"/>
        <v>Ours (weight_decay 0.001, ps112, drop0.1, res_attn, stride112, eff_feat3, featured_patch_dim 40, emb_dim24)</v>
      </c>
    </row>
    <row r="146" spans="1:28" x14ac:dyDescent="0.4">
      <c r="A146" s="21" t="s">
        <v>593</v>
      </c>
      <c r="K146" s="21">
        <v>97.58</v>
      </c>
      <c r="L146" s="21">
        <v>0.73250000000000004</v>
      </c>
      <c r="M146" s="57">
        <v>84.07</v>
      </c>
      <c r="P146" s="55">
        <v>0.84299999999999997</v>
      </c>
      <c r="T146" s="21" t="s">
        <v>594</v>
      </c>
      <c r="AB146" s="21" t="str">
        <f>A146</f>
        <v>Ours (weight_decay 0.001, ps112, drop0.5, res_attn, stride112, eff_feat3, featured_patch_dim 40, emb_dim24,)</v>
      </c>
    </row>
    <row r="147" spans="1:28" x14ac:dyDescent="0.4">
      <c r="A147" s="21" t="s">
        <v>595</v>
      </c>
      <c r="K147" s="21">
        <v>99.38</v>
      </c>
      <c r="L147" s="21">
        <v>0.86970000000000003</v>
      </c>
      <c r="M147" s="57">
        <v>84.96</v>
      </c>
      <c r="P147" s="55">
        <v>0.85040000000000004</v>
      </c>
      <c r="T147" s="21" t="s">
        <v>598</v>
      </c>
      <c r="AB147" s="21" t="str">
        <f t="shared" ref="AB147:AB210" si="3">A147</f>
        <v>Ours (weight_decay 0.001, ps112, drop0.1, res_attn, stride112, eff_feat3, featured_patch_dim 40, emb_dim40, head4)</v>
      </c>
    </row>
    <row r="148" spans="1:28" x14ac:dyDescent="0.4">
      <c r="A148" s="21" t="s">
        <v>596</v>
      </c>
      <c r="K148" s="21">
        <v>99.22</v>
      </c>
      <c r="L148" s="21">
        <v>0.68269999999999997</v>
      </c>
      <c r="M148" s="57">
        <v>85.25</v>
      </c>
      <c r="P148" s="55">
        <v>0.85629999999999995</v>
      </c>
      <c r="T148" s="21" t="s">
        <v>599</v>
      </c>
      <c r="AB148" s="21" t="str">
        <f t="shared" si="3"/>
        <v>Ours (weight_decay 0.001, ps112, drop0.1, res_attn, stride112, eff_feat3, featured_patch_dim 40, emb_dim40, head4, ffratio 1)</v>
      </c>
    </row>
    <row r="149" spans="1:28" x14ac:dyDescent="0.4">
      <c r="A149" s="21" t="s">
        <v>600</v>
      </c>
      <c r="L149" s="21" t="s">
        <v>557</v>
      </c>
      <c r="T149" s="21" t="s">
        <v>601</v>
      </c>
      <c r="AB149" s="21" t="str">
        <f t="shared" si="3"/>
        <v>Ours (weight_decay 0.0001, ps112, drop0.1, res_attn, stride112, ffratio1)</v>
      </c>
    </row>
    <row r="150" spans="1:28" x14ac:dyDescent="0.4">
      <c r="A150" s="21" t="s">
        <v>603</v>
      </c>
      <c r="L150" s="21" t="s">
        <v>556</v>
      </c>
      <c r="T150" s="21" t="s">
        <v>602</v>
      </c>
      <c r="AB150" s="21" t="str">
        <f t="shared" si="3"/>
        <v>Ours (weight_decay 0.0001, ps112, drop0.5, res_attn, stride112, ffratio1)</v>
      </c>
    </row>
    <row r="151" spans="1:28" x14ac:dyDescent="0.4">
      <c r="A151" s="65" t="s">
        <v>604</v>
      </c>
      <c r="K151" s="21">
        <v>92.89</v>
      </c>
      <c r="L151" s="21">
        <v>0.37890000000000001</v>
      </c>
      <c r="M151" s="57">
        <v>88.2</v>
      </c>
      <c r="P151" s="55">
        <v>0.88639999999999997</v>
      </c>
      <c r="T151" s="21" t="s">
        <v>606</v>
      </c>
      <c r="AB151" s="21" t="str">
        <f t="shared" si="3"/>
        <v>Ours (weight_decay 0.0001, ps112, drop0.0, res_attn)</v>
      </c>
    </row>
    <row r="152" spans="1:28" x14ac:dyDescent="0.4">
      <c r="K152" s="21">
        <v>92.89</v>
      </c>
      <c r="L152" s="21">
        <v>0.38200000000000001</v>
      </c>
      <c r="M152" s="57">
        <v>87.61</v>
      </c>
      <c r="P152" s="55">
        <v>0.88</v>
      </c>
      <c r="T152" s="21" t="s">
        <v>607</v>
      </c>
      <c r="AB152" s="21">
        <f t="shared" si="3"/>
        <v>0</v>
      </c>
    </row>
    <row r="153" spans="1:28" x14ac:dyDescent="0.4">
      <c r="K153" s="21">
        <v>93.2</v>
      </c>
      <c r="L153" s="21">
        <v>0.38229999999999997</v>
      </c>
      <c r="M153" s="57">
        <v>88.2</v>
      </c>
      <c r="P153" s="55">
        <v>0.8851</v>
      </c>
      <c r="T153" s="21" t="s">
        <v>608</v>
      </c>
      <c r="AB153" s="21">
        <f t="shared" si="3"/>
        <v>0</v>
      </c>
    </row>
    <row r="154" spans="1:28" x14ac:dyDescent="0.4">
      <c r="A154" s="65" t="s">
        <v>464</v>
      </c>
      <c r="E154" s="21" t="s">
        <v>605</v>
      </c>
      <c r="K154" s="21">
        <v>90.55</v>
      </c>
      <c r="L154" s="21">
        <v>2.9899999999999999E-2</v>
      </c>
      <c r="M154" s="57">
        <v>86.43</v>
      </c>
      <c r="P154" s="55">
        <v>0.87080000000000002</v>
      </c>
      <c r="T154" s="21" t="s">
        <v>611</v>
      </c>
      <c r="AB154" s="21" t="str">
        <f t="shared" si="3"/>
        <v>Ours (weight_decay 0.0001, ps112, drop0.1, res_attn)</v>
      </c>
    </row>
    <row r="155" spans="1:28" x14ac:dyDescent="0.4">
      <c r="K155" s="21">
        <v>90.55</v>
      </c>
      <c r="L155" s="21">
        <v>2.9399999999999999E-2</v>
      </c>
      <c r="M155" s="57">
        <v>86.43</v>
      </c>
      <c r="P155" s="55">
        <v>0.87360000000000004</v>
      </c>
      <c r="T155" s="21" t="s">
        <v>610</v>
      </c>
      <c r="AB155" s="21">
        <f t="shared" si="3"/>
        <v>0</v>
      </c>
    </row>
    <row r="156" spans="1:28" x14ac:dyDescent="0.4">
      <c r="K156" s="21">
        <v>90.55</v>
      </c>
      <c r="L156" s="21">
        <v>2.9399999999999999E-2</v>
      </c>
      <c r="M156" s="57">
        <v>86.14</v>
      </c>
      <c r="P156" s="55">
        <v>0.86829999999999996</v>
      </c>
      <c r="T156" s="21" t="s">
        <v>609</v>
      </c>
      <c r="AB156" s="21">
        <f t="shared" si="3"/>
        <v>0</v>
      </c>
    </row>
    <row r="157" spans="1:28" x14ac:dyDescent="0.4">
      <c r="A157" s="32" t="s">
        <v>464</v>
      </c>
      <c r="E157" s="21" t="s">
        <v>100</v>
      </c>
      <c r="K157" s="21">
        <v>90.62</v>
      </c>
      <c r="L157" s="21">
        <v>0.38300000000000001</v>
      </c>
      <c r="M157" s="57">
        <v>89.09</v>
      </c>
      <c r="P157" s="55">
        <v>0.89339999999999997</v>
      </c>
      <c r="T157" s="21" t="s">
        <v>612</v>
      </c>
      <c r="AB157" s="21" t="str">
        <f t="shared" si="3"/>
        <v>Ours (weight_decay 0.0001, ps112, drop0.1, res_attn)</v>
      </c>
    </row>
    <row r="158" spans="1:28" x14ac:dyDescent="0.4">
      <c r="E158" s="21" t="s">
        <v>100</v>
      </c>
      <c r="K158" s="21">
        <v>91.02</v>
      </c>
      <c r="L158" s="21">
        <v>0.38479999999999998</v>
      </c>
      <c r="M158" s="57">
        <v>88.79</v>
      </c>
      <c r="P158" s="55">
        <v>0.89390000000000003</v>
      </c>
      <c r="T158" s="21" t="s">
        <v>613</v>
      </c>
      <c r="AB158" s="21">
        <f t="shared" si="3"/>
        <v>0</v>
      </c>
    </row>
    <row r="159" spans="1:28" x14ac:dyDescent="0.4">
      <c r="A159" s="32" t="s">
        <v>464</v>
      </c>
      <c r="E159" s="21" t="s">
        <v>100</v>
      </c>
      <c r="K159" s="21">
        <v>90.94</v>
      </c>
      <c r="L159" s="21">
        <v>0.38269999999999998</v>
      </c>
      <c r="M159" s="57">
        <v>89.68</v>
      </c>
      <c r="P159" s="55">
        <v>0.90029999999999999</v>
      </c>
      <c r="T159" s="21" t="s">
        <v>614</v>
      </c>
      <c r="AB159" s="21" t="str">
        <f t="shared" si="3"/>
        <v>Ours (weight_decay 0.0001, ps112, drop0.1, res_attn)</v>
      </c>
    </row>
    <row r="160" spans="1:28" x14ac:dyDescent="0.4">
      <c r="A160" s="32" t="s">
        <v>615</v>
      </c>
      <c r="E160" s="21" t="s">
        <v>100</v>
      </c>
      <c r="K160" s="21">
        <v>90.78</v>
      </c>
      <c r="L160" s="21">
        <v>0.38350000000000001</v>
      </c>
      <c r="M160" s="57">
        <v>88.5</v>
      </c>
      <c r="P160" s="55">
        <v>0.89139999999999997</v>
      </c>
      <c r="T160" s="21" t="s">
        <v>616</v>
      </c>
      <c r="AB160" s="21" t="str">
        <f t="shared" si="3"/>
        <v>Ours (weight_decay 0.001, ps112, drop0.1, res_attn)</v>
      </c>
    </row>
    <row r="161" spans="1:28" x14ac:dyDescent="0.4">
      <c r="E161" s="21" t="s">
        <v>100</v>
      </c>
      <c r="K161" s="21">
        <v>91.09</v>
      </c>
      <c r="L161" s="21">
        <v>0.38479999999999998</v>
      </c>
      <c r="M161" s="57">
        <v>88.2</v>
      </c>
      <c r="P161" s="55">
        <v>0.88829999999999998</v>
      </c>
      <c r="T161" s="21" t="s">
        <v>617</v>
      </c>
      <c r="AB161" s="21">
        <f t="shared" si="3"/>
        <v>0</v>
      </c>
    </row>
    <row r="162" spans="1:28" x14ac:dyDescent="0.4">
      <c r="A162" s="32" t="s">
        <v>462</v>
      </c>
      <c r="E162" s="21" t="s">
        <v>100</v>
      </c>
      <c r="K162" s="21">
        <v>90.7</v>
      </c>
      <c r="L162" s="21">
        <v>0.38429999999999997</v>
      </c>
      <c r="M162" s="57">
        <v>88.79</v>
      </c>
      <c r="P162" s="55">
        <v>0.89080000000000004</v>
      </c>
      <c r="T162" s="21" t="s">
        <v>618</v>
      </c>
      <c r="AB162" s="21" t="str">
        <f t="shared" si="3"/>
        <v>Ours (weight_decay 0.005, ps112, drop0.1, res_attn)</v>
      </c>
    </row>
    <row r="163" spans="1:28" x14ac:dyDescent="0.4">
      <c r="A163" s="32" t="s">
        <v>619</v>
      </c>
      <c r="K163" s="21">
        <v>99.3</v>
      </c>
      <c r="L163" s="21">
        <v>0.73770000000000002</v>
      </c>
      <c r="M163" s="57">
        <v>88.2</v>
      </c>
      <c r="P163" s="55">
        <v>0.8851</v>
      </c>
      <c r="T163" s="21" t="s">
        <v>620</v>
      </c>
      <c r="AB163" s="21" t="str">
        <f t="shared" si="3"/>
        <v>Ours (weight_decay 0.0001, ps112, drop0.0, feat3)</v>
      </c>
    </row>
    <row r="164" spans="1:28" x14ac:dyDescent="0.4">
      <c r="K164" s="21">
        <v>99.22</v>
      </c>
      <c r="L164" s="21">
        <v>0.7601</v>
      </c>
      <c r="M164" s="57">
        <v>87.61</v>
      </c>
      <c r="P164" s="55">
        <v>0.88070000000000004</v>
      </c>
      <c r="T164" s="21" t="s">
        <v>621</v>
      </c>
      <c r="AB164" s="21">
        <f t="shared" si="3"/>
        <v>0</v>
      </c>
    </row>
    <row r="165" spans="1:28" x14ac:dyDescent="0.4">
      <c r="K165" s="21">
        <v>99.3</v>
      </c>
      <c r="L165" s="21">
        <v>0.7641</v>
      </c>
      <c r="M165" s="57">
        <v>87.32</v>
      </c>
      <c r="P165" s="55">
        <v>0.87819999999999998</v>
      </c>
      <c r="T165" s="21" t="s">
        <v>622</v>
      </c>
      <c r="AB165" s="21">
        <f t="shared" si="3"/>
        <v>0</v>
      </c>
    </row>
    <row r="166" spans="1:28" x14ac:dyDescent="0.4">
      <c r="A166" s="21" t="s">
        <v>623</v>
      </c>
      <c r="AB166" s="21" t="str">
        <f t="shared" si="3"/>
        <v>val loss가 20에포크까진 급격히 감소하고, 그 이후로 꾸준히 증가</v>
      </c>
    </row>
    <row r="167" spans="1:28" x14ac:dyDescent="0.4">
      <c r="A167" s="21" t="s">
        <v>624</v>
      </c>
      <c r="K167" s="21">
        <v>92.66</v>
      </c>
      <c r="L167" s="21">
        <v>0.3851</v>
      </c>
      <c r="M167" s="57">
        <v>87.91</v>
      </c>
      <c r="P167" s="55">
        <v>0.88390000000000002</v>
      </c>
      <c r="T167" s="21" t="s">
        <v>625</v>
      </c>
      <c r="AB167" s="21" t="str">
        <f>A167</f>
        <v>Ours (weight_decay 0.0001, ps112, drop0.1, res_attn, lr 0.003, eta_min 1e-5, )</v>
      </c>
    </row>
    <row r="168" spans="1:28" x14ac:dyDescent="0.4">
      <c r="A168" s="21" t="s">
        <v>626</v>
      </c>
      <c r="K168" s="21">
        <v>93.05</v>
      </c>
      <c r="L168" s="21">
        <v>0.44219999999999998</v>
      </c>
      <c r="M168" s="57">
        <v>86.14</v>
      </c>
      <c r="P168" s="55">
        <v>0.86980000000000002</v>
      </c>
      <c r="T168" s="21" t="s">
        <v>628</v>
      </c>
    </row>
    <row r="169" spans="1:28" x14ac:dyDescent="0.4">
      <c r="A169" s="20" t="s">
        <v>627</v>
      </c>
      <c r="K169" s="21">
        <v>91.72</v>
      </c>
      <c r="L169" s="21">
        <v>0.38159999999999999</v>
      </c>
      <c r="M169" s="57">
        <v>89.09</v>
      </c>
      <c r="P169" s="55">
        <v>0.89580000000000004</v>
      </c>
      <c r="T169" s="21" t="s">
        <v>629</v>
      </c>
    </row>
    <row r="170" spans="1:28" x14ac:dyDescent="0.4">
      <c r="A170" s="21" t="s">
        <v>630</v>
      </c>
      <c r="T170" s="21" t="s">
        <v>631</v>
      </c>
      <c r="AB170" s="21" t="str">
        <f t="shared" si="3"/>
        <v>Ours (weight_decay 0.0001, ps112, drop0.1, res_attn, eta_min 1e-4, 시작 시 1e-5 부터 5에퐄 웜업하고 lr 0.001에서 시작</v>
      </c>
    </row>
    <row r="171" spans="1:28" x14ac:dyDescent="0.4">
      <c r="T171" s="21" t="s">
        <v>632</v>
      </c>
      <c r="AB171" s="21">
        <f t="shared" si="3"/>
        <v>0</v>
      </c>
    </row>
    <row r="172" spans="1:28" x14ac:dyDescent="0.4">
      <c r="T172" s="21" t="s">
        <v>633</v>
      </c>
      <c r="AB172" s="21">
        <f t="shared" si="3"/>
        <v>0</v>
      </c>
    </row>
    <row r="173" spans="1:28" x14ac:dyDescent="0.4">
      <c r="AB173" s="21">
        <f t="shared" si="3"/>
        <v>0</v>
      </c>
    </row>
    <row r="174" spans="1:28" x14ac:dyDescent="0.4">
      <c r="AB174" s="21">
        <f t="shared" si="3"/>
        <v>0</v>
      </c>
    </row>
    <row r="175" spans="1:28" x14ac:dyDescent="0.4">
      <c r="AB175" s="21">
        <f t="shared" si="3"/>
        <v>0</v>
      </c>
    </row>
    <row r="176" spans="1:28" x14ac:dyDescent="0.4">
      <c r="AB176" s="21">
        <f t="shared" si="3"/>
        <v>0</v>
      </c>
    </row>
    <row r="177" spans="28:28" x14ac:dyDescent="0.4">
      <c r="AB177" s="21">
        <f t="shared" si="3"/>
        <v>0</v>
      </c>
    </row>
    <row r="178" spans="28:28" x14ac:dyDescent="0.4">
      <c r="AB178" s="21">
        <f t="shared" si="3"/>
        <v>0</v>
      </c>
    </row>
    <row r="179" spans="28:28" x14ac:dyDescent="0.4">
      <c r="AB179" s="21">
        <f t="shared" si="3"/>
        <v>0</v>
      </c>
    </row>
    <row r="180" spans="28:28" x14ac:dyDescent="0.4">
      <c r="AB180" s="21">
        <f t="shared" si="3"/>
        <v>0</v>
      </c>
    </row>
    <row r="181" spans="28:28" x14ac:dyDescent="0.4">
      <c r="AB181" s="21">
        <f t="shared" si="3"/>
        <v>0</v>
      </c>
    </row>
    <row r="182" spans="28:28" x14ac:dyDescent="0.4">
      <c r="AB182" s="21">
        <f t="shared" si="3"/>
        <v>0</v>
      </c>
    </row>
    <row r="183" spans="28:28" x14ac:dyDescent="0.4">
      <c r="AB183" s="21">
        <f t="shared" si="3"/>
        <v>0</v>
      </c>
    </row>
    <row r="184" spans="28:28" x14ac:dyDescent="0.4">
      <c r="AB184" s="21">
        <f t="shared" si="3"/>
        <v>0</v>
      </c>
    </row>
    <row r="185" spans="28:28" x14ac:dyDescent="0.4">
      <c r="AB185" s="21">
        <f t="shared" si="3"/>
        <v>0</v>
      </c>
    </row>
    <row r="186" spans="28:28" x14ac:dyDescent="0.4">
      <c r="AB186" s="21">
        <f>A186</f>
        <v>0</v>
      </c>
    </row>
    <row r="187" spans="28:28" x14ac:dyDescent="0.4">
      <c r="AB187" s="21">
        <f>A187</f>
        <v>0</v>
      </c>
    </row>
    <row r="188" spans="28:28" x14ac:dyDescent="0.4">
      <c r="AB188" s="21">
        <f t="shared" si="3"/>
        <v>0</v>
      </c>
    </row>
    <row r="189" spans="28:28" x14ac:dyDescent="0.4">
      <c r="AB189" s="21">
        <f t="shared" si="3"/>
        <v>0</v>
      </c>
    </row>
    <row r="190" spans="28:28" x14ac:dyDescent="0.4">
      <c r="AB190" s="21">
        <f t="shared" si="3"/>
        <v>0</v>
      </c>
    </row>
    <row r="191" spans="28:28" x14ac:dyDescent="0.4">
      <c r="AB191" s="21">
        <f t="shared" si="3"/>
        <v>0</v>
      </c>
    </row>
    <row r="192" spans="28:28" x14ac:dyDescent="0.4">
      <c r="AB192" s="21">
        <f t="shared" si="3"/>
        <v>0</v>
      </c>
    </row>
    <row r="193" spans="28:28" x14ac:dyDescent="0.4">
      <c r="AB193" s="21">
        <f t="shared" si="3"/>
        <v>0</v>
      </c>
    </row>
    <row r="194" spans="28:28" x14ac:dyDescent="0.4">
      <c r="AB194" s="21">
        <f t="shared" si="3"/>
        <v>0</v>
      </c>
    </row>
    <row r="195" spans="28:28" x14ac:dyDescent="0.4">
      <c r="AB195" s="21">
        <f t="shared" si="3"/>
        <v>0</v>
      </c>
    </row>
    <row r="196" spans="28:28" x14ac:dyDescent="0.4">
      <c r="AB196" s="21">
        <f t="shared" si="3"/>
        <v>0</v>
      </c>
    </row>
    <row r="197" spans="28:28" x14ac:dyDescent="0.4">
      <c r="AB197" s="21">
        <f t="shared" si="3"/>
        <v>0</v>
      </c>
    </row>
    <row r="198" spans="28:28" x14ac:dyDescent="0.4">
      <c r="AB198" s="21">
        <f t="shared" si="3"/>
        <v>0</v>
      </c>
    </row>
    <row r="199" spans="28:28" x14ac:dyDescent="0.4">
      <c r="AB199" s="21">
        <f t="shared" si="3"/>
        <v>0</v>
      </c>
    </row>
    <row r="200" spans="28:28" x14ac:dyDescent="0.4">
      <c r="AB200" s="21">
        <f t="shared" si="3"/>
        <v>0</v>
      </c>
    </row>
    <row r="201" spans="28:28" x14ac:dyDescent="0.4">
      <c r="AB201" s="21">
        <f t="shared" si="3"/>
        <v>0</v>
      </c>
    </row>
    <row r="202" spans="28:28" x14ac:dyDescent="0.4">
      <c r="AB202" s="21">
        <f t="shared" si="3"/>
        <v>0</v>
      </c>
    </row>
    <row r="203" spans="28:28" x14ac:dyDescent="0.4">
      <c r="AB203" s="21">
        <f t="shared" si="3"/>
        <v>0</v>
      </c>
    </row>
    <row r="204" spans="28:28" x14ac:dyDescent="0.4">
      <c r="AB204" s="21">
        <f t="shared" si="3"/>
        <v>0</v>
      </c>
    </row>
    <row r="205" spans="28:28" x14ac:dyDescent="0.4">
      <c r="AB205" s="21">
        <f t="shared" si="3"/>
        <v>0</v>
      </c>
    </row>
    <row r="206" spans="28:28" x14ac:dyDescent="0.4">
      <c r="AB206" s="21">
        <f t="shared" si="3"/>
        <v>0</v>
      </c>
    </row>
    <row r="207" spans="28:28" x14ac:dyDescent="0.4">
      <c r="AB207" s="21">
        <f t="shared" si="3"/>
        <v>0</v>
      </c>
    </row>
    <row r="208" spans="28:28" x14ac:dyDescent="0.4">
      <c r="AB208" s="21">
        <f t="shared" si="3"/>
        <v>0</v>
      </c>
    </row>
    <row r="209" spans="28:28" x14ac:dyDescent="0.4">
      <c r="AB209" s="21">
        <f t="shared" si="3"/>
        <v>0</v>
      </c>
    </row>
    <row r="210" spans="28:28" x14ac:dyDescent="0.4">
      <c r="AB210" s="21">
        <f t="shared" si="3"/>
        <v>0</v>
      </c>
    </row>
    <row r="211" spans="28:28" x14ac:dyDescent="0.4">
      <c r="AB211" s="21">
        <f t="shared" ref="AB211:AB274" si="4">A211</f>
        <v>0</v>
      </c>
    </row>
    <row r="212" spans="28:28" x14ac:dyDescent="0.4">
      <c r="AB212" s="21">
        <f t="shared" si="4"/>
        <v>0</v>
      </c>
    </row>
    <row r="213" spans="28:28" x14ac:dyDescent="0.4">
      <c r="AB213" s="21">
        <f t="shared" si="4"/>
        <v>0</v>
      </c>
    </row>
    <row r="214" spans="28:28" x14ac:dyDescent="0.4">
      <c r="AB214" s="21">
        <f t="shared" si="4"/>
        <v>0</v>
      </c>
    </row>
    <row r="215" spans="28:28" x14ac:dyDescent="0.4">
      <c r="AB215" s="21">
        <f t="shared" si="4"/>
        <v>0</v>
      </c>
    </row>
    <row r="216" spans="28:28" x14ac:dyDescent="0.4">
      <c r="AB216" s="21">
        <f t="shared" si="4"/>
        <v>0</v>
      </c>
    </row>
    <row r="217" spans="28:28" x14ac:dyDescent="0.4">
      <c r="AB217" s="21">
        <f t="shared" si="4"/>
        <v>0</v>
      </c>
    </row>
    <row r="218" spans="28:28" x14ac:dyDescent="0.4">
      <c r="AB218" s="21">
        <f t="shared" si="4"/>
        <v>0</v>
      </c>
    </row>
    <row r="219" spans="28:28" x14ac:dyDescent="0.4">
      <c r="AB219" s="21">
        <f t="shared" si="4"/>
        <v>0</v>
      </c>
    </row>
    <row r="220" spans="28:28" x14ac:dyDescent="0.4">
      <c r="AB220" s="21">
        <f t="shared" si="4"/>
        <v>0</v>
      </c>
    </row>
    <row r="221" spans="28:28" x14ac:dyDescent="0.4">
      <c r="AB221" s="21">
        <f t="shared" si="4"/>
        <v>0</v>
      </c>
    </row>
    <row r="222" spans="28:28" x14ac:dyDescent="0.4">
      <c r="AB222" s="21">
        <f t="shared" si="4"/>
        <v>0</v>
      </c>
    </row>
    <row r="223" spans="28:28" x14ac:dyDescent="0.4">
      <c r="AB223" s="21">
        <f t="shared" si="4"/>
        <v>0</v>
      </c>
    </row>
    <row r="224" spans="28:28" x14ac:dyDescent="0.4">
      <c r="AB224" s="21">
        <f t="shared" si="4"/>
        <v>0</v>
      </c>
    </row>
    <row r="225" spans="28:28" x14ac:dyDescent="0.4">
      <c r="AB225" s="21">
        <f t="shared" si="4"/>
        <v>0</v>
      </c>
    </row>
    <row r="226" spans="28:28" x14ac:dyDescent="0.4">
      <c r="AB226" s="21">
        <f t="shared" si="4"/>
        <v>0</v>
      </c>
    </row>
    <row r="227" spans="28:28" x14ac:dyDescent="0.4">
      <c r="AB227" s="21">
        <f t="shared" si="4"/>
        <v>0</v>
      </c>
    </row>
    <row r="228" spans="28:28" x14ac:dyDescent="0.4">
      <c r="AB228" s="21">
        <f t="shared" si="4"/>
        <v>0</v>
      </c>
    </row>
    <row r="229" spans="28:28" x14ac:dyDescent="0.4">
      <c r="AB229" s="21">
        <f t="shared" si="4"/>
        <v>0</v>
      </c>
    </row>
    <row r="230" spans="28:28" x14ac:dyDescent="0.4">
      <c r="AB230" s="21">
        <f t="shared" si="4"/>
        <v>0</v>
      </c>
    </row>
    <row r="231" spans="28:28" x14ac:dyDescent="0.4">
      <c r="AB231" s="21">
        <f t="shared" si="4"/>
        <v>0</v>
      </c>
    </row>
    <row r="232" spans="28:28" x14ac:dyDescent="0.4">
      <c r="AB232" s="21">
        <f t="shared" si="4"/>
        <v>0</v>
      </c>
    </row>
    <row r="233" spans="28:28" x14ac:dyDescent="0.4">
      <c r="AB233" s="21">
        <f t="shared" si="4"/>
        <v>0</v>
      </c>
    </row>
    <row r="234" spans="28:28" x14ac:dyDescent="0.4">
      <c r="AB234" s="21">
        <f t="shared" si="4"/>
        <v>0</v>
      </c>
    </row>
    <row r="235" spans="28:28" x14ac:dyDescent="0.4">
      <c r="AB235" s="21">
        <f t="shared" si="4"/>
        <v>0</v>
      </c>
    </row>
    <row r="236" spans="28:28" x14ac:dyDescent="0.4">
      <c r="AB236" s="21">
        <f t="shared" si="4"/>
        <v>0</v>
      </c>
    </row>
    <row r="237" spans="28:28" x14ac:dyDescent="0.4">
      <c r="AB237" s="21">
        <f t="shared" si="4"/>
        <v>0</v>
      </c>
    </row>
    <row r="238" spans="28:28" x14ac:dyDescent="0.4">
      <c r="AB238" s="21">
        <f t="shared" si="4"/>
        <v>0</v>
      </c>
    </row>
    <row r="239" spans="28:28" x14ac:dyDescent="0.4">
      <c r="AB239" s="21">
        <f t="shared" si="4"/>
        <v>0</v>
      </c>
    </row>
    <row r="240" spans="28:28" x14ac:dyDescent="0.4">
      <c r="AB240" s="21">
        <f t="shared" si="4"/>
        <v>0</v>
      </c>
    </row>
    <row r="241" spans="28:28" x14ac:dyDescent="0.4">
      <c r="AB241" s="21">
        <f t="shared" si="4"/>
        <v>0</v>
      </c>
    </row>
    <row r="242" spans="28:28" x14ac:dyDescent="0.4">
      <c r="AB242" s="21">
        <f t="shared" si="4"/>
        <v>0</v>
      </c>
    </row>
    <row r="243" spans="28:28" x14ac:dyDescent="0.4">
      <c r="AB243" s="21">
        <f t="shared" si="4"/>
        <v>0</v>
      </c>
    </row>
    <row r="244" spans="28:28" x14ac:dyDescent="0.4">
      <c r="AB244" s="21">
        <f t="shared" si="4"/>
        <v>0</v>
      </c>
    </row>
    <row r="245" spans="28:28" x14ac:dyDescent="0.4">
      <c r="AB245" s="21">
        <f t="shared" si="4"/>
        <v>0</v>
      </c>
    </row>
    <row r="246" spans="28:28" x14ac:dyDescent="0.4">
      <c r="AB246" s="21">
        <f t="shared" si="4"/>
        <v>0</v>
      </c>
    </row>
    <row r="247" spans="28:28" x14ac:dyDescent="0.4">
      <c r="AB247" s="21">
        <f t="shared" si="4"/>
        <v>0</v>
      </c>
    </row>
    <row r="248" spans="28:28" x14ac:dyDescent="0.4">
      <c r="AB248" s="21">
        <f t="shared" si="4"/>
        <v>0</v>
      </c>
    </row>
    <row r="249" spans="28:28" x14ac:dyDescent="0.4">
      <c r="AB249" s="21">
        <f t="shared" si="4"/>
        <v>0</v>
      </c>
    </row>
    <row r="250" spans="28:28" x14ac:dyDescent="0.4">
      <c r="AB250" s="21">
        <f t="shared" si="4"/>
        <v>0</v>
      </c>
    </row>
    <row r="251" spans="28:28" x14ac:dyDescent="0.4">
      <c r="AB251" s="21">
        <f t="shared" si="4"/>
        <v>0</v>
      </c>
    </row>
    <row r="252" spans="28:28" x14ac:dyDescent="0.4">
      <c r="AB252" s="21">
        <f t="shared" si="4"/>
        <v>0</v>
      </c>
    </row>
    <row r="253" spans="28:28" x14ac:dyDescent="0.4">
      <c r="AB253" s="21">
        <f t="shared" si="4"/>
        <v>0</v>
      </c>
    </row>
    <row r="254" spans="28:28" x14ac:dyDescent="0.4">
      <c r="AB254" s="21">
        <f t="shared" si="4"/>
        <v>0</v>
      </c>
    </row>
    <row r="255" spans="28:28" x14ac:dyDescent="0.4">
      <c r="AB255" s="21">
        <f t="shared" si="4"/>
        <v>0</v>
      </c>
    </row>
    <row r="256" spans="28:28" x14ac:dyDescent="0.4">
      <c r="AB256" s="21">
        <f t="shared" si="4"/>
        <v>0</v>
      </c>
    </row>
    <row r="257" spans="28:28" x14ac:dyDescent="0.4">
      <c r="AB257" s="21">
        <f t="shared" si="4"/>
        <v>0</v>
      </c>
    </row>
    <row r="258" spans="28:28" x14ac:dyDescent="0.4">
      <c r="AB258" s="21">
        <f t="shared" si="4"/>
        <v>0</v>
      </c>
    </row>
    <row r="259" spans="28:28" x14ac:dyDescent="0.4">
      <c r="AB259" s="21">
        <f t="shared" si="4"/>
        <v>0</v>
      </c>
    </row>
    <row r="260" spans="28:28" x14ac:dyDescent="0.4">
      <c r="AB260" s="21">
        <f t="shared" si="4"/>
        <v>0</v>
      </c>
    </row>
    <row r="261" spans="28:28" x14ac:dyDescent="0.4">
      <c r="AB261" s="21">
        <f t="shared" si="4"/>
        <v>0</v>
      </c>
    </row>
    <row r="262" spans="28:28" x14ac:dyDescent="0.4">
      <c r="AB262" s="21">
        <f t="shared" si="4"/>
        <v>0</v>
      </c>
    </row>
    <row r="263" spans="28:28" x14ac:dyDescent="0.4">
      <c r="AB263" s="21">
        <f t="shared" si="4"/>
        <v>0</v>
      </c>
    </row>
    <row r="264" spans="28:28" x14ac:dyDescent="0.4">
      <c r="AB264" s="21">
        <f t="shared" si="4"/>
        <v>0</v>
      </c>
    </row>
    <row r="265" spans="28:28" x14ac:dyDescent="0.4">
      <c r="AB265" s="21">
        <f t="shared" si="4"/>
        <v>0</v>
      </c>
    </row>
    <row r="266" spans="28:28" x14ac:dyDescent="0.4">
      <c r="AB266" s="21">
        <f t="shared" si="4"/>
        <v>0</v>
      </c>
    </row>
    <row r="267" spans="28:28" x14ac:dyDescent="0.4">
      <c r="AB267" s="21">
        <f t="shared" si="4"/>
        <v>0</v>
      </c>
    </row>
    <row r="268" spans="28:28" x14ac:dyDescent="0.4">
      <c r="AB268" s="21">
        <f t="shared" si="4"/>
        <v>0</v>
      </c>
    </row>
    <row r="269" spans="28:28" x14ac:dyDescent="0.4">
      <c r="AB269" s="21">
        <f t="shared" si="4"/>
        <v>0</v>
      </c>
    </row>
    <row r="270" spans="28:28" x14ac:dyDescent="0.4">
      <c r="AB270" s="21">
        <f t="shared" si="4"/>
        <v>0</v>
      </c>
    </row>
    <row r="271" spans="28:28" x14ac:dyDescent="0.4">
      <c r="AB271" s="21">
        <f t="shared" si="4"/>
        <v>0</v>
      </c>
    </row>
    <row r="272" spans="28:28" x14ac:dyDescent="0.4">
      <c r="AB272" s="21">
        <f t="shared" si="4"/>
        <v>0</v>
      </c>
    </row>
    <row r="273" spans="28:28" x14ac:dyDescent="0.4">
      <c r="AB273" s="21">
        <f t="shared" si="4"/>
        <v>0</v>
      </c>
    </row>
    <row r="274" spans="28:28" x14ac:dyDescent="0.4">
      <c r="AB274" s="21">
        <f t="shared" si="4"/>
        <v>0</v>
      </c>
    </row>
    <row r="275" spans="28:28" x14ac:dyDescent="0.4">
      <c r="AB275" s="21">
        <f t="shared" ref="AB275:AB338" si="5">A275</f>
        <v>0</v>
      </c>
    </row>
    <row r="276" spans="28:28" x14ac:dyDescent="0.4">
      <c r="AB276" s="21">
        <f t="shared" si="5"/>
        <v>0</v>
      </c>
    </row>
    <row r="277" spans="28:28" x14ac:dyDescent="0.4">
      <c r="AB277" s="21">
        <f t="shared" si="5"/>
        <v>0</v>
      </c>
    </row>
    <row r="278" spans="28:28" x14ac:dyDescent="0.4">
      <c r="AB278" s="21">
        <f t="shared" si="5"/>
        <v>0</v>
      </c>
    </row>
    <row r="279" spans="28:28" x14ac:dyDescent="0.4">
      <c r="AB279" s="21">
        <f t="shared" si="5"/>
        <v>0</v>
      </c>
    </row>
    <row r="280" spans="28:28" x14ac:dyDescent="0.4">
      <c r="AB280" s="21">
        <f t="shared" si="5"/>
        <v>0</v>
      </c>
    </row>
    <row r="281" spans="28:28" x14ac:dyDescent="0.4">
      <c r="AB281" s="21">
        <f t="shared" si="5"/>
        <v>0</v>
      </c>
    </row>
    <row r="282" spans="28:28" x14ac:dyDescent="0.4">
      <c r="AB282" s="21">
        <f t="shared" si="5"/>
        <v>0</v>
      </c>
    </row>
    <row r="283" spans="28:28" x14ac:dyDescent="0.4">
      <c r="AB283" s="21">
        <f t="shared" si="5"/>
        <v>0</v>
      </c>
    </row>
    <row r="284" spans="28:28" x14ac:dyDescent="0.4">
      <c r="AB284" s="21">
        <f t="shared" si="5"/>
        <v>0</v>
      </c>
    </row>
    <row r="285" spans="28:28" x14ac:dyDescent="0.4">
      <c r="AB285" s="21">
        <f t="shared" si="5"/>
        <v>0</v>
      </c>
    </row>
    <row r="286" spans="28:28" x14ac:dyDescent="0.4">
      <c r="AB286" s="21">
        <f t="shared" si="5"/>
        <v>0</v>
      </c>
    </row>
    <row r="287" spans="28:28" x14ac:dyDescent="0.4">
      <c r="AB287" s="21">
        <f t="shared" si="5"/>
        <v>0</v>
      </c>
    </row>
    <row r="288" spans="28:28" x14ac:dyDescent="0.4">
      <c r="AB288" s="21">
        <f t="shared" si="5"/>
        <v>0</v>
      </c>
    </row>
    <row r="289" spans="28:28" x14ac:dyDescent="0.4">
      <c r="AB289" s="21">
        <f t="shared" si="5"/>
        <v>0</v>
      </c>
    </row>
    <row r="290" spans="28:28" x14ac:dyDescent="0.4">
      <c r="AB290" s="21">
        <f t="shared" si="5"/>
        <v>0</v>
      </c>
    </row>
    <row r="291" spans="28:28" x14ac:dyDescent="0.4">
      <c r="AB291" s="21">
        <f t="shared" si="5"/>
        <v>0</v>
      </c>
    </row>
    <row r="292" spans="28:28" x14ac:dyDescent="0.4">
      <c r="AB292" s="21">
        <f t="shared" si="5"/>
        <v>0</v>
      </c>
    </row>
    <row r="293" spans="28:28" x14ac:dyDescent="0.4">
      <c r="AB293" s="21">
        <f t="shared" si="5"/>
        <v>0</v>
      </c>
    </row>
    <row r="294" spans="28:28" x14ac:dyDescent="0.4">
      <c r="AB294" s="21">
        <f t="shared" si="5"/>
        <v>0</v>
      </c>
    </row>
    <row r="295" spans="28:28" x14ac:dyDescent="0.4">
      <c r="AB295" s="21">
        <f t="shared" si="5"/>
        <v>0</v>
      </c>
    </row>
    <row r="296" spans="28:28" x14ac:dyDescent="0.4">
      <c r="AB296" s="21">
        <f t="shared" si="5"/>
        <v>0</v>
      </c>
    </row>
    <row r="297" spans="28:28" x14ac:dyDescent="0.4">
      <c r="AB297" s="21">
        <f t="shared" si="5"/>
        <v>0</v>
      </c>
    </row>
    <row r="298" spans="28:28" x14ac:dyDescent="0.4">
      <c r="AB298" s="21">
        <f t="shared" si="5"/>
        <v>0</v>
      </c>
    </row>
    <row r="299" spans="28:28" x14ac:dyDescent="0.4">
      <c r="AB299" s="21">
        <f t="shared" si="5"/>
        <v>0</v>
      </c>
    </row>
    <row r="300" spans="28:28" x14ac:dyDescent="0.4">
      <c r="AB300" s="21">
        <f t="shared" si="5"/>
        <v>0</v>
      </c>
    </row>
    <row r="301" spans="28:28" x14ac:dyDescent="0.4">
      <c r="AB301" s="21">
        <f t="shared" si="5"/>
        <v>0</v>
      </c>
    </row>
    <row r="302" spans="28:28" x14ac:dyDescent="0.4">
      <c r="AB302" s="21">
        <f t="shared" si="5"/>
        <v>0</v>
      </c>
    </row>
    <row r="303" spans="28:28" x14ac:dyDescent="0.4">
      <c r="AB303" s="21">
        <f t="shared" si="5"/>
        <v>0</v>
      </c>
    </row>
    <row r="304" spans="28:28" x14ac:dyDescent="0.4">
      <c r="AB304" s="21">
        <f t="shared" si="5"/>
        <v>0</v>
      </c>
    </row>
    <row r="305" spans="28:28" x14ac:dyDescent="0.4">
      <c r="AB305" s="21">
        <f t="shared" si="5"/>
        <v>0</v>
      </c>
    </row>
    <row r="306" spans="28:28" x14ac:dyDescent="0.4">
      <c r="AB306" s="21">
        <f t="shared" si="5"/>
        <v>0</v>
      </c>
    </row>
    <row r="307" spans="28:28" x14ac:dyDescent="0.4">
      <c r="AB307" s="21">
        <f t="shared" si="5"/>
        <v>0</v>
      </c>
    </row>
    <row r="308" spans="28:28" x14ac:dyDescent="0.4">
      <c r="AB308" s="21">
        <f t="shared" si="5"/>
        <v>0</v>
      </c>
    </row>
    <row r="309" spans="28:28" x14ac:dyDescent="0.4">
      <c r="AB309" s="21">
        <f t="shared" si="5"/>
        <v>0</v>
      </c>
    </row>
    <row r="310" spans="28:28" x14ac:dyDescent="0.4">
      <c r="AB310" s="21">
        <f t="shared" si="5"/>
        <v>0</v>
      </c>
    </row>
    <row r="311" spans="28:28" x14ac:dyDescent="0.4">
      <c r="AB311" s="21">
        <f t="shared" si="5"/>
        <v>0</v>
      </c>
    </row>
    <row r="312" spans="28:28" x14ac:dyDescent="0.4">
      <c r="AB312" s="21">
        <f t="shared" si="5"/>
        <v>0</v>
      </c>
    </row>
    <row r="313" spans="28:28" x14ac:dyDescent="0.4">
      <c r="AB313" s="21">
        <f t="shared" si="5"/>
        <v>0</v>
      </c>
    </row>
    <row r="314" spans="28:28" x14ac:dyDescent="0.4">
      <c r="AB314" s="21">
        <f t="shared" si="5"/>
        <v>0</v>
      </c>
    </row>
    <row r="315" spans="28:28" x14ac:dyDescent="0.4">
      <c r="AB315" s="21">
        <f t="shared" si="5"/>
        <v>0</v>
      </c>
    </row>
    <row r="316" spans="28:28" x14ac:dyDescent="0.4">
      <c r="AB316" s="21">
        <f t="shared" si="5"/>
        <v>0</v>
      </c>
    </row>
    <row r="317" spans="28:28" x14ac:dyDescent="0.4">
      <c r="AB317" s="21">
        <f t="shared" si="5"/>
        <v>0</v>
      </c>
    </row>
    <row r="318" spans="28:28" x14ac:dyDescent="0.4">
      <c r="AB318" s="21">
        <f t="shared" si="5"/>
        <v>0</v>
      </c>
    </row>
    <row r="319" spans="28:28" x14ac:dyDescent="0.4">
      <c r="AB319" s="21">
        <f t="shared" si="5"/>
        <v>0</v>
      </c>
    </row>
    <row r="320" spans="28:28" x14ac:dyDescent="0.4">
      <c r="AB320" s="21">
        <f t="shared" si="5"/>
        <v>0</v>
      </c>
    </row>
    <row r="321" spans="28:28" x14ac:dyDescent="0.4">
      <c r="AB321" s="21">
        <f t="shared" si="5"/>
        <v>0</v>
      </c>
    </row>
    <row r="322" spans="28:28" x14ac:dyDescent="0.4">
      <c r="AB322" s="21">
        <f t="shared" si="5"/>
        <v>0</v>
      </c>
    </row>
    <row r="323" spans="28:28" x14ac:dyDescent="0.4">
      <c r="AB323" s="21">
        <f t="shared" si="5"/>
        <v>0</v>
      </c>
    </row>
    <row r="324" spans="28:28" x14ac:dyDescent="0.4">
      <c r="AB324" s="21">
        <f t="shared" si="5"/>
        <v>0</v>
      </c>
    </row>
    <row r="325" spans="28:28" x14ac:dyDescent="0.4">
      <c r="AB325" s="21">
        <f t="shared" si="5"/>
        <v>0</v>
      </c>
    </row>
    <row r="326" spans="28:28" x14ac:dyDescent="0.4">
      <c r="AB326" s="21">
        <f t="shared" si="5"/>
        <v>0</v>
      </c>
    </row>
    <row r="327" spans="28:28" x14ac:dyDescent="0.4">
      <c r="AB327" s="21">
        <f t="shared" si="5"/>
        <v>0</v>
      </c>
    </row>
    <row r="328" spans="28:28" x14ac:dyDescent="0.4">
      <c r="AB328" s="21">
        <f t="shared" si="5"/>
        <v>0</v>
      </c>
    </row>
    <row r="329" spans="28:28" x14ac:dyDescent="0.4">
      <c r="AB329" s="21">
        <f t="shared" si="5"/>
        <v>0</v>
      </c>
    </row>
    <row r="330" spans="28:28" x14ac:dyDescent="0.4">
      <c r="AB330" s="21">
        <f t="shared" si="5"/>
        <v>0</v>
      </c>
    </row>
    <row r="331" spans="28:28" x14ac:dyDescent="0.4">
      <c r="AB331" s="21">
        <f t="shared" si="5"/>
        <v>0</v>
      </c>
    </row>
    <row r="332" spans="28:28" x14ac:dyDescent="0.4">
      <c r="AB332" s="21">
        <f t="shared" si="5"/>
        <v>0</v>
      </c>
    </row>
    <row r="333" spans="28:28" x14ac:dyDescent="0.4">
      <c r="AB333" s="21">
        <f t="shared" si="5"/>
        <v>0</v>
      </c>
    </row>
    <row r="334" spans="28:28" x14ac:dyDescent="0.4">
      <c r="AB334" s="21">
        <f t="shared" si="5"/>
        <v>0</v>
      </c>
    </row>
    <row r="335" spans="28:28" x14ac:dyDescent="0.4">
      <c r="AB335" s="21">
        <f t="shared" si="5"/>
        <v>0</v>
      </c>
    </row>
    <row r="336" spans="28:28" x14ac:dyDescent="0.4">
      <c r="AB336" s="21">
        <f t="shared" si="5"/>
        <v>0</v>
      </c>
    </row>
    <row r="337" spans="28:28" x14ac:dyDescent="0.4">
      <c r="AB337" s="21">
        <f t="shared" si="5"/>
        <v>0</v>
      </c>
    </row>
    <row r="338" spans="28:28" x14ac:dyDescent="0.4">
      <c r="AB338" s="21">
        <f t="shared" si="5"/>
        <v>0</v>
      </c>
    </row>
    <row r="339" spans="28:28" x14ac:dyDescent="0.4">
      <c r="AB339" s="21">
        <f t="shared" ref="AB339:AB402" si="6">A339</f>
        <v>0</v>
      </c>
    </row>
    <row r="340" spans="28:28" x14ac:dyDescent="0.4">
      <c r="AB340" s="21">
        <f t="shared" si="6"/>
        <v>0</v>
      </c>
    </row>
    <row r="341" spans="28:28" x14ac:dyDescent="0.4">
      <c r="AB341" s="21">
        <f t="shared" si="6"/>
        <v>0</v>
      </c>
    </row>
    <row r="342" spans="28:28" x14ac:dyDescent="0.4">
      <c r="AB342" s="21">
        <f t="shared" si="6"/>
        <v>0</v>
      </c>
    </row>
    <row r="343" spans="28:28" x14ac:dyDescent="0.4">
      <c r="AB343" s="21">
        <f t="shared" si="6"/>
        <v>0</v>
      </c>
    </row>
    <row r="344" spans="28:28" x14ac:dyDescent="0.4">
      <c r="AB344" s="21">
        <f t="shared" si="6"/>
        <v>0</v>
      </c>
    </row>
    <row r="345" spans="28:28" x14ac:dyDescent="0.4">
      <c r="AB345" s="21">
        <f t="shared" si="6"/>
        <v>0</v>
      </c>
    </row>
    <row r="346" spans="28:28" x14ac:dyDescent="0.4">
      <c r="AB346" s="21">
        <f t="shared" si="6"/>
        <v>0</v>
      </c>
    </row>
    <row r="347" spans="28:28" x14ac:dyDescent="0.4">
      <c r="AB347" s="21">
        <f t="shared" si="6"/>
        <v>0</v>
      </c>
    </row>
    <row r="348" spans="28:28" x14ac:dyDescent="0.4">
      <c r="AB348" s="21">
        <f t="shared" si="6"/>
        <v>0</v>
      </c>
    </row>
    <row r="349" spans="28:28" x14ac:dyDescent="0.4">
      <c r="AB349" s="21">
        <f t="shared" si="6"/>
        <v>0</v>
      </c>
    </row>
    <row r="350" spans="28:28" x14ac:dyDescent="0.4">
      <c r="AB350" s="21">
        <f t="shared" si="6"/>
        <v>0</v>
      </c>
    </row>
    <row r="351" spans="28:28" x14ac:dyDescent="0.4">
      <c r="AB351" s="21">
        <f t="shared" si="6"/>
        <v>0</v>
      </c>
    </row>
    <row r="352" spans="28:28" x14ac:dyDescent="0.4">
      <c r="AB352" s="21">
        <f t="shared" si="6"/>
        <v>0</v>
      </c>
    </row>
    <row r="353" spans="28:28" x14ac:dyDescent="0.4">
      <c r="AB353" s="21">
        <f t="shared" si="6"/>
        <v>0</v>
      </c>
    </row>
    <row r="354" spans="28:28" x14ac:dyDescent="0.4">
      <c r="AB354" s="21">
        <f t="shared" si="6"/>
        <v>0</v>
      </c>
    </row>
    <row r="355" spans="28:28" x14ac:dyDescent="0.4">
      <c r="AB355" s="21">
        <f t="shared" si="6"/>
        <v>0</v>
      </c>
    </row>
    <row r="356" spans="28:28" x14ac:dyDescent="0.4">
      <c r="AB356" s="21">
        <f t="shared" si="6"/>
        <v>0</v>
      </c>
    </row>
    <row r="357" spans="28:28" x14ac:dyDescent="0.4">
      <c r="AB357" s="21">
        <f t="shared" si="6"/>
        <v>0</v>
      </c>
    </row>
    <row r="358" spans="28:28" x14ac:dyDescent="0.4">
      <c r="AB358" s="21">
        <f t="shared" si="6"/>
        <v>0</v>
      </c>
    </row>
    <row r="359" spans="28:28" x14ac:dyDescent="0.4">
      <c r="AB359" s="21">
        <f t="shared" si="6"/>
        <v>0</v>
      </c>
    </row>
    <row r="360" spans="28:28" x14ac:dyDescent="0.4">
      <c r="AB360" s="21">
        <f t="shared" si="6"/>
        <v>0</v>
      </c>
    </row>
    <row r="361" spans="28:28" x14ac:dyDescent="0.4">
      <c r="AB361" s="21">
        <f t="shared" si="6"/>
        <v>0</v>
      </c>
    </row>
    <row r="362" spans="28:28" x14ac:dyDescent="0.4">
      <c r="AB362" s="21">
        <f t="shared" si="6"/>
        <v>0</v>
      </c>
    </row>
    <row r="363" spans="28:28" x14ac:dyDescent="0.4">
      <c r="AB363" s="21">
        <f t="shared" si="6"/>
        <v>0</v>
      </c>
    </row>
    <row r="364" spans="28:28" x14ac:dyDescent="0.4">
      <c r="AB364" s="21">
        <f t="shared" si="6"/>
        <v>0</v>
      </c>
    </row>
    <row r="365" spans="28:28" x14ac:dyDescent="0.4">
      <c r="AB365" s="21">
        <f t="shared" si="6"/>
        <v>0</v>
      </c>
    </row>
    <row r="366" spans="28:28" x14ac:dyDescent="0.4">
      <c r="AB366" s="21">
        <f t="shared" si="6"/>
        <v>0</v>
      </c>
    </row>
    <row r="367" spans="28:28" x14ac:dyDescent="0.4">
      <c r="AB367" s="21">
        <f t="shared" si="6"/>
        <v>0</v>
      </c>
    </row>
    <row r="368" spans="28:28" x14ac:dyDescent="0.4">
      <c r="AB368" s="21">
        <f t="shared" si="6"/>
        <v>0</v>
      </c>
    </row>
    <row r="369" spans="28:28" x14ac:dyDescent="0.4">
      <c r="AB369" s="21">
        <f t="shared" si="6"/>
        <v>0</v>
      </c>
    </row>
    <row r="370" spans="28:28" x14ac:dyDescent="0.4">
      <c r="AB370" s="21">
        <f t="shared" si="6"/>
        <v>0</v>
      </c>
    </row>
    <row r="371" spans="28:28" x14ac:dyDescent="0.4">
      <c r="AB371" s="21">
        <f t="shared" si="6"/>
        <v>0</v>
      </c>
    </row>
    <row r="372" spans="28:28" x14ac:dyDescent="0.4">
      <c r="AB372" s="21">
        <f t="shared" si="6"/>
        <v>0</v>
      </c>
    </row>
    <row r="373" spans="28:28" x14ac:dyDescent="0.4">
      <c r="AB373" s="21">
        <f t="shared" si="6"/>
        <v>0</v>
      </c>
    </row>
    <row r="374" spans="28:28" x14ac:dyDescent="0.4">
      <c r="AB374" s="21">
        <f t="shared" si="6"/>
        <v>0</v>
      </c>
    </row>
    <row r="375" spans="28:28" x14ac:dyDescent="0.4">
      <c r="AB375" s="21">
        <f t="shared" si="6"/>
        <v>0</v>
      </c>
    </row>
    <row r="376" spans="28:28" x14ac:dyDescent="0.4">
      <c r="AB376" s="21">
        <f t="shared" si="6"/>
        <v>0</v>
      </c>
    </row>
    <row r="377" spans="28:28" x14ac:dyDescent="0.4">
      <c r="AB377" s="21">
        <f t="shared" si="6"/>
        <v>0</v>
      </c>
    </row>
    <row r="378" spans="28:28" x14ac:dyDescent="0.4">
      <c r="AB378" s="21">
        <f t="shared" si="6"/>
        <v>0</v>
      </c>
    </row>
    <row r="379" spans="28:28" x14ac:dyDescent="0.4">
      <c r="AB379" s="21">
        <f t="shared" si="6"/>
        <v>0</v>
      </c>
    </row>
    <row r="380" spans="28:28" x14ac:dyDescent="0.4">
      <c r="AB380" s="21">
        <f t="shared" si="6"/>
        <v>0</v>
      </c>
    </row>
    <row r="381" spans="28:28" x14ac:dyDescent="0.4">
      <c r="AB381" s="21">
        <f t="shared" si="6"/>
        <v>0</v>
      </c>
    </row>
    <row r="382" spans="28:28" x14ac:dyDescent="0.4">
      <c r="AB382" s="21">
        <f t="shared" si="6"/>
        <v>0</v>
      </c>
    </row>
    <row r="383" spans="28:28" x14ac:dyDescent="0.4">
      <c r="AB383" s="21">
        <f t="shared" si="6"/>
        <v>0</v>
      </c>
    </row>
    <row r="384" spans="28:28" x14ac:dyDescent="0.4">
      <c r="AB384" s="21">
        <f t="shared" si="6"/>
        <v>0</v>
      </c>
    </row>
    <row r="385" spans="28:28" x14ac:dyDescent="0.4">
      <c r="AB385" s="21">
        <f t="shared" si="6"/>
        <v>0</v>
      </c>
    </row>
    <row r="386" spans="28:28" x14ac:dyDescent="0.4">
      <c r="AB386" s="21">
        <f t="shared" si="6"/>
        <v>0</v>
      </c>
    </row>
    <row r="387" spans="28:28" x14ac:dyDescent="0.4">
      <c r="AB387" s="21">
        <f t="shared" si="6"/>
        <v>0</v>
      </c>
    </row>
    <row r="388" spans="28:28" x14ac:dyDescent="0.4">
      <c r="AB388" s="21">
        <f t="shared" si="6"/>
        <v>0</v>
      </c>
    </row>
    <row r="389" spans="28:28" x14ac:dyDescent="0.4">
      <c r="AB389" s="21">
        <f t="shared" si="6"/>
        <v>0</v>
      </c>
    </row>
    <row r="390" spans="28:28" x14ac:dyDescent="0.4">
      <c r="AB390" s="21">
        <f t="shared" si="6"/>
        <v>0</v>
      </c>
    </row>
    <row r="391" spans="28:28" x14ac:dyDescent="0.4">
      <c r="AB391" s="21">
        <f t="shared" si="6"/>
        <v>0</v>
      </c>
    </row>
    <row r="392" spans="28:28" x14ac:dyDescent="0.4">
      <c r="AB392" s="21">
        <f t="shared" si="6"/>
        <v>0</v>
      </c>
    </row>
    <row r="393" spans="28:28" x14ac:dyDescent="0.4">
      <c r="AB393" s="21">
        <f t="shared" si="6"/>
        <v>0</v>
      </c>
    </row>
    <row r="394" spans="28:28" x14ac:dyDescent="0.4">
      <c r="AB394" s="21">
        <f t="shared" si="6"/>
        <v>0</v>
      </c>
    </row>
    <row r="395" spans="28:28" x14ac:dyDescent="0.4">
      <c r="AB395" s="21">
        <f t="shared" si="6"/>
        <v>0</v>
      </c>
    </row>
    <row r="396" spans="28:28" x14ac:dyDescent="0.4">
      <c r="AB396" s="21">
        <f t="shared" si="6"/>
        <v>0</v>
      </c>
    </row>
    <row r="397" spans="28:28" x14ac:dyDescent="0.4">
      <c r="AB397" s="21">
        <f t="shared" si="6"/>
        <v>0</v>
      </c>
    </row>
    <row r="398" spans="28:28" x14ac:dyDescent="0.4">
      <c r="AB398" s="21">
        <f t="shared" si="6"/>
        <v>0</v>
      </c>
    </row>
    <row r="399" spans="28:28" x14ac:dyDescent="0.4">
      <c r="AB399" s="21">
        <f t="shared" si="6"/>
        <v>0</v>
      </c>
    </row>
    <row r="400" spans="28:28" x14ac:dyDescent="0.4">
      <c r="AB400" s="21">
        <f t="shared" si="6"/>
        <v>0</v>
      </c>
    </row>
    <row r="401" spans="28:28" x14ac:dyDescent="0.4">
      <c r="AB401" s="21">
        <f t="shared" si="6"/>
        <v>0</v>
      </c>
    </row>
    <row r="402" spans="28:28" x14ac:dyDescent="0.4">
      <c r="AB402" s="21">
        <f t="shared" si="6"/>
        <v>0</v>
      </c>
    </row>
    <row r="403" spans="28:28" x14ac:dyDescent="0.4">
      <c r="AB403" s="21">
        <f t="shared" ref="AB403:AB426" si="7">A403</f>
        <v>0</v>
      </c>
    </row>
    <row r="404" spans="28:28" x14ac:dyDescent="0.4">
      <c r="AB404" s="21">
        <f t="shared" si="7"/>
        <v>0</v>
      </c>
    </row>
    <row r="405" spans="28:28" x14ac:dyDescent="0.4">
      <c r="AB405" s="21">
        <f t="shared" si="7"/>
        <v>0</v>
      </c>
    </row>
    <row r="406" spans="28:28" x14ac:dyDescent="0.4">
      <c r="AB406" s="21">
        <f t="shared" si="7"/>
        <v>0</v>
      </c>
    </row>
    <row r="407" spans="28:28" x14ac:dyDescent="0.4">
      <c r="AB407" s="21">
        <f t="shared" si="7"/>
        <v>0</v>
      </c>
    </row>
    <row r="408" spans="28:28" x14ac:dyDescent="0.4">
      <c r="AB408" s="21">
        <f t="shared" si="7"/>
        <v>0</v>
      </c>
    </row>
    <row r="409" spans="28:28" x14ac:dyDescent="0.4">
      <c r="AB409" s="21">
        <f t="shared" si="7"/>
        <v>0</v>
      </c>
    </row>
    <row r="410" spans="28:28" x14ac:dyDescent="0.4">
      <c r="AB410" s="21">
        <f t="shared" si="7"/>
        <v>0</v>
      </c>
    </row>
    <row r="411" spans="28:28" x14ac:dyDescent="0.4">
      <c r="AB411" s="21">
        <f t="shared" si="7"/>
        <v>0</v>
      </c>
    </row>
    <row r="412" spans="28:28" x14ac:dyDescent="0.4">
      <c r="AB412" s="21">
        <f t="shared" si="7"/>
        <v>0</v>
      </c>
    </row>
    <row r="413" spans="28:28" x14ac:dyDescent="0.4">
      <c r="AB413" s="21">
        <f t="shared" si="7"/>
        <v>0</v>
      </c>
    </row>
    <row r="414" spans="28:28" x14ac:dyDescent="0.4">
      <c r="AB414" s="21">
        <f t="shared" si="7"/>
        <v>0</v>
      </c>
    </row>
    <row r="415" spans="28:28" x14ac:dyDescent="0.4">
      <c r="AB415" s="21">
        <f t="shared" si="7"/>
        <v>0</v>
      </c>
    </row>
    <row r="416" spans="28:28" x14ac:dyDescent="0.4">
      <c r="AB416" s="21">
        <f t="shared" si="7"/>
        <v>0</v>
      </c>
    </row>
    <row r="417" spans="28:28" x14ac:dyDescent="0.4">
      <c r="AB417" s="21">
        <f t="shared" si="7"/>
        <v>0</v>
      </c>
    </row>
    <row r="418" spans="28:28" x14ac:dyDescent="0.4">
      <c r="AB418" s="21">
        <f t="shared" si="7"/>
        <v>0</v>
      </c>
    </row>
    <row r="419" spans="28:28" x14ac:dyDescent="0.4">
      <c r="AB419" s="21">
        <f t="shared" si="7"/>
        <v>0</v>
      </c>
    </row>
    <row r="420" spans="28:28" x14ac:dyDescent="0.4">
      <c r="AB420" s="21">
        <f t="shared" si="7"/>
        <v>0</v>
      </c>
    </row>
    <row r="421" spans="28:28" x14ac:dyDescent="0.4">
      <c r="AB421" s="21">
        <f t="shared" si="7"/>
        <v>0</v>
      </c>
    </row>
    <row r="422" spans="28:28" x14ac:dyDescent="0.4">
      <c r="AB422" s="21">
        <f t="shared" si="7"/>
        <v>0</v>
      </c>
    </row>
    <row r="423" spans="28:28" x14ac:dyDescent="0.4">
      <c r="AB423" s="21">
        <f t="shared" si="7"/>
        <v>0</v>
      </c>
    </row>
    <row r="424" spans="28:28" x14ac:dyDescent="0.4">
      <c r="AB424" s="21">
        <f t="shared" si="7"/>
        <v>0</v>
      </c>
    </row>
    <row r="425" spans="28:28" x14ac:dyDescent="0.4">
      <c r="AB425" s="21">
        <f t="shared" si="7"/>
        <v>0</v>
      </c>
    </row>
    <row r="426" spans="28:28" x14ac:dyDescent="0.4">
      <c r="AB426" s="21">
        <f t="shared" si="7"/>
        <v>0</v>
      </c>
    </row>
  </sheetData>
  <phoneticPr fontId="2" type="noConversion"/>
  <conditionalFormatting sqref="K1:K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N153 N155:N104857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53 O155:O104857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53 P155:P104857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:Q104857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:R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35C0-14C9-45B2-BCCA-0F6EE4603826}">
  <dimension ref="A2:X22"/>
  <sheetViews>
    <sheetView tabSelected="1" workbookViewId="0">
      <pane ySplit="3" topLeftCell="A4" activePane="bottomLeft" state="frozen"/>
      <selection pane="bottomLeft" activeCell="B22" sqref="B22"/>
    </sheetView>
  </sheetViews>
  <sheetFormatPr defaultRowHeight="17.399999999999999" x14ac:dyDescent="0.4"/>
  <cols>
    <col min="1" max="1" width="92.296875" customWidth="1"/>
    <col min="2" max="2" width="14.296875" customWidth="1"/>
    <col min="3" max="3" width="44.09765625" customWidth="1"/>
    <col min="4" max="4" width="11.5" customWidth="1"/>
    <col min="5" max="5" width="48.69921875" customWidth="1"/>
    <col min="6" max="6" width="8.3984375" customWidth="1"/>
    <col min="7" max="7" width="14.296875" customWidth="1"/>
    <col min="8" max="8" width="16.59765625" customWidth="1"/>
    <col min="9" max="9" width="22.796875" customWidth="1"/>
    <col min="10" max="10" width="20" customWidth="1"/>
    <col min="11" max="12" width="21" customWidth="1"/>
    <col min="13" max="13" width="25.296875" customWidth="1"/>
    <col min="14" max="19" width="17.796875" style="60" customWidth="1"/>
    <col min="20" max="20" width="17.796875" customWidth="1"/>
  </cols>
  <sheetData>
    <row r="2" spans="1:24" x14ac:dyDescent="0.4">
      <c r="A2" s="21" t="s">
        <v>449</v>
      </c>
    </row>
    <row r="3" spans="1:24" x14ac:dyDescent="0.4">
      <c r="A3" s="52" t="s">
        <v>63</v>
      </c>
      <c r="B3" s="52" t="s">
        <v>24</v>
      </c>
      <c r="C3" s="52" t="s">
        <v>62</v>
      </c>
      <c r="D3" s="52" t="s">
        <v>61</v>
      </c>
      <c r="E3" s="52" t="s">
        <v>99</v>
      </c>
      <c r="F3" s="52" t="s">
        <v>12</v>
      </c>
      <c r="G3" s="52" t="s">
        <v>54</v>
      </c>
      <c r="H3" s="52" t="s">
        <v>55</v>
      </c>
      <c r="I3" s="52" t="s">
        <v>58</v>
      </c>
      <c r="J3" s="52" t="s">
        <v>363</v>
      </c>
      <c r="K3" s="52" t="s">
        <v>496</v>
      </c>
      <c r="L3" s="52" t="s">
        <v>527</v>
      </c>
      <c r="M3" s="52" t="s">
        <v>495</v>
      </c>
      <c r="N3" s="59" t="s">
        <v>13</v>
      </c>
      <c r="O3" s="59" t="s">
        <v>256</v>
      </c>
      <c r="P3" s="59" t="s">
        <v>257</v>
      </c>
      <c r="Q3" s="59" t="s">
        <v>258</v>
      </c>
      <c r="R3" s="59" t="s">
        <v>259</v>
      </c>
      <c r="S3" s="59" t="s">
        <v>260</v>
      </c>
      <c r="T3" s="52" t="s">
        <v>262</v>
      </c>
    </row>
    <row r="4" spans="1:24" s="53" customFormat="1" x14ac:dyDescent="0.4">
      <c r="A4" t="s">
        <v>2</v>
      </c>
      <c r="B4" s="21" t="s">
        <v>502</v>
      </c>
      <c r="C4" s="21" t="s">
        <v>53</v>
      </c>
      <c r="D4" s="21">
        <v>256</v>
      </c>
      <c r="E4" s="21" t="s">
        <v>102</v>
      </c>
      <c r="F4" s="21">
        <v>90</v>
      </c>
      <c r="G4" s="21" t="b">
        <v>0</v>
      </c>
      <c r="H4" s="21" t="s">
        <v>56</v>
      </c>
      <c r="I4" s="21" t="s">
        <v>471</v>
      </c>
      <c r="J4" s="21" t="s">
        <v>366</v>
      </c>
      <c r="K4" s="53" t="s">
        <v>23</v>
      </c>
      <c r="L4" s="21" t="s">
        <v>23</v>
      </c>
      <c r="M4">
        <v>90.71</v>
      </c>
      <c r="N4" s="60">
        <v>0.92369999999999997</v>
      </c>
      <c r="O4" s="60">
        <v>0.89829999999999999</v>
      </c>
      <c r="P4" s="60">
        <v>0.91080000000000005</v>
      </c>
      <c r="Q4" s="60">
        <v>0.88949999999999996</v>
      </c>
      <c r="R4" s="60">
        <v>0.91690000000000005</v>
      </c>
      <c r="S4" s="60">
        <v>0.90300000000000002</v>
      </c>
      <c r="T4" t="s">
        <v>361</v>
      </c>
      <c r="U4"/>
      <c r="V4"/>
      <c r="W4"/>
      <c r="X4"/>
    </row>
    <row r="5" spans="1:24" x14ac:dyDescent="0.4">
      <c r="A5" s="21" t="s">
        <v>3</v>
      </c>
      <c r="B5" s="21" t="s">
        <v>502</v>
      </c>
      <c r="C5" s="21" t="s">
        <v>53</v>
      </c>
      <c r="D5" s="21">
        <v>256</v>
      </c>
      <c r="E5" s="21" t="s">
        <v>102</v>
      </c>
      <c r="F5" s="21">
        <v>90</v>
      </c>
      <c r="G5" s="21" t="b">
        <v>0</v>
      </c>
      <c r="H5" s="21" t="s">
        <v>56</v>
      </c>
      <c r="I5" s="21" t="s">
        <v>471</v>
      </c>
      <c r="J5" s="21" t="s">
        <v>365</v>
      </c>
      <c r="K5">
        <v>99.97</v>
      </c>
      <c r="L5">
        <v>0.57930000000000004</v>
      </c>
      <c r="M5">
        <v>91.93</v>
      </c>
      <c r="N5" s="60">
        <v>0.93169999999999997</v>
      </c>
      <c r="O5" s="60">
        <v>0.91420000000000001</v>
      </c>
      <c r="P5" s="60">
        <v>0.92279999999999995</v>
      </c>
      <c r="Q5" s="60">
        <v>0.90590000000000004</v>
      </c>
      <c r="R5" s="60">
        <v>0.92500000000000004</v>
      </c>
      <c r="S5" s="60">
        <v>0.91539999999999999</v>
      </c>
      <c r="T5" t="s">
        <v>402</v>
      </c>
    </row>
    <row r="6" spans="1:24" x14ac:dyDescent="0.4">
      <c r="A6" s="21" t="s">
        <v>4</v>
      </c>
      <c r="B6" s="21" t="s">
        <v>502</v>
      </c>
      <c r="C6" s="21" t="s">
        <v>53</v>
      </c>
      <c r="D6" s="21">
        <v>256</v>
      </c>
      <c r="E6" s="21" t="s">
        <v>103</v>
      </c>
      <c r="F6" s="21">
        <v>90</v>
      </c>
      <c r="G6" s="21" t="b">
        <v>0</v>
      </c>
      <c r="H6" s="21" t="s">
        <v>56</v>
      </c>
      <c r="I6" s="21" t="s">
        <v>471</v>
      </c>
      <c r="J6" s="21" t="s">
        <v>365</v>
      </c>
      <c r="K6">
        <v>93.59</v>
      </c>
      <c r="L6">
        <v>0.2157</v>
      </c>
      <c r="M6" s="21">
        <v>92.14</v>
      </c>
      <c r="N6" s="55">
        <v>0.94430000000000003</v>
      </c>
      <c r="O6" s="55">
        <v>0.90459999999999996</v>
      </c>
      <c r="P6" s="55">
        <v>0.92400000000000004</v>
      </c>
      <c r="Q6" s="55">
        <v>0.89800000000000002</v>
      </c>
      <c r="R6" s="55">
        <v>0.94030000000000002</v>
      </c>
      <c r="S6" s="55">
        <v>0.91859999999999997</v>
      </c>
      <c r="T6" s="21" t="s">
        <v>403</v>
      </c>
      <c r="U6" s="21"/>
    </row>
    <row r="7" spans="1:24" x14ac:dyDescent="0.4">
      <c r="A7" s="21" t="s">
        <v>6</v>
      </c>
      <c r="B7" s="21" t="s">
        <v>502</v>
      </c>
      <c r="C7" s="21" t="s">
        <v>53</v>
      </c>
      <c r="D7" s="21">
        <v>256</v>
      </c>
      <c r="E7" s="21" t="s">
        <v>102</v>
      </c>
      <c r="F7" s="21">
        <v>90</v>
      </c>
      <c r="G7" s="21" t="b">
        <v>0</v>
      </c>
      <c r="H7" s="21" t="s">
        <v>56</v>
      </c>
      <c r="I7" s="21" t="s">
        <v>471</v>
      </c>
      <c r="J7" s="21" t="s">
        <v>365</v>
      </c>
      <c r="K7">
        <v>95.09</v>
      </c>
      <c r="L7">
        <v>0.24110000000000001</v>
      </c>
      <c r="M7">
        <v>92.11</v>
      </c>
      <c r="N7" s="60">
        <v>0.93840000000000001</v>
      </c>
      <c r="O7" s="60">
        <v>0.91039999999999999</v>
      </c>
      <c r="P7" s="60">
        <v>0.92420000000000002</v>
      </c>
      <c r="Q7" s="60">
        <v>0.90300000000000002</v>
      </c>
      <c r="R7" s="60">
        <v>0.93310000000000004</v>
      </c>
      <c r="S7" s="60">
        <v>0.91779999999999995</v>
      </c>
      <c r="T7" t="s">
        <v>414</v>
      </c>
    </row>
    <row r="8" spans="1:24" x14ac:dyDescent="0.4">
      <c r="A8" s="64" t="s">
        <v>421</v>
      </c>
      <c r="B8" s="21" t="s">
        <v>502</v>
      </c>
      <c r="C8" s="21" t="s">
        <v>275</v>
      </c>
      <c r="D8" s="21">
        <v>256</v>
      </c>
      <c r="E8" t="s">
        <v>100</v>
      </c>
      <c r="F8">
        <v>90</v>
      </c>
      <c r="G8" t="b">
        <v>0</v>
      </c>
      <c r="H8" t="s">
        <v>276</v>
      </c>
      <c r="I8" t="s">
        <v>60</v>
      </c>
      <c r="J8" t="s">
        <v>365</v>
      </c>
      <c r="K8">
        <v>90.77</v>
      </c>
      <c r="L8">
        <v>0.2273</v>
      </c>
      <c r="M8">
        <v>90.95</v>
      </c>
      <c r="N8" s="60">
        <v>0.92469999999999997</v>
      </c>
      <c r="O8" s="60">
        <v>0.9022</v>
      </c>
      <c r="P8" s="60">
        <v>0.9133</v>
      </c>
      <c r="Q8" s="60">
        <v>0.89339999999999997</v>
      </c>
      <c r="R8" s="60">
        <v>0.91769999999999996</v>
      </c>
      <c r="S8" s="60">
        <v>0.90539999999999998</v>
      </c>
      <c r="T8" t="s">
        <v>450</v>
      </c>
    </row>
    <row r="9" spans="1:24" x14ac:dyDescent="0.4">
      <c r="A9" s="64" t="s">
        <v>463</v>
      </c>
      <c r="B9" s="21" t="s">
        <v>502</v>
      </c>
      <c r="C9" s="21" t="s">
        <v>275</v>
      </c>
      <c r="D9" s="21">
        <v>256</v>
      </c>
      <c r="E9" t="s">
        <v>100</v>
      </c>
      <c r="F9" s="21">
        <v>90</v>
      </c>
      <c r="G9" s="21" t="b">
        <v>0</v>
      </c>
      <c r="H9" s="21" t="s">
        <v>276</v>
      </c>
      <c r="I9" s="21" t="s">
        <v>117</v>
      </c>
      <c r="J9" s="21" t="s">
        <v>365</v>
      </c>
      <c r="K9">
        <v>90.85</v>
      </c>
      <c r="L9">
        <v>0.23039999999999999</v>
      </c>
      <c r="M9">
        <v>90.94</v>
      </c>
      <c r="N9" s="60">
        <v>0.9274</v>
      </c>
      <c r="O9" s="60">
        <v>0.89890000000000003</v>
      </c>
      <c r="P9" s="60">
        <v>0.91290000000000004</v>
      </c>
      <c r="Q9" s="60">
        <v>0.89059999999999995</v>
      </c>
      <c r="R9" s="60">
        <v>0.92120000000000002</v>
      </c>
      <c r="S9" s="60">
        <v>0.90569999999999995</v>
      </c>
      <c r="T9" t="s">
        <v>494</v>
      </c>
    </row>
    <row r="10" spans="1:24" s="20" customFormat="1" x14ac:dyDescent="0.4">
      <c r="A10" s="64" t="s">
        <v>497</v>
      </c>
      <c r="B10" s="21" t="s">
        <v>502</v>
      </c>
      <c r="C10" s="21" t="s">
        <v>275</v>
      </c>
      <c r="D10" s="21">
        <v>256</v>
      </c>
      <c r="E10" t="s">
        <v>100</v>
      </c>
      <c r="F10" s="21">
        <v>90</v>
      </c>
      <c r="G10" s="21" t="b">
        <v>0</v>
      </c>
      <c r="H10" s="21" t="s">
        <v>276</v>
      </c>
      <c r="I10" s="21" t="s">
        <v>60</v>
      </c>
      <c r="J10" s="21" t="s">
        <v>365</v>
      </c>
      <c r="K10" s="21">
        <v>90.9</v>
      </c>
      <c r="L10" s="21">
        <v>0.22509999999999999</v>
      </c>
      <c r="M10" s="21">
        <v>91.06</v>
      </c>
      <c r="N10" s="55">
        <v>0.92689999999999995</v>
      </c>
      <c r="O10" s="55">
        <v>0.90190000000000003</v>
      </c>
      <c r="P10" s="55">
        <v>0.91420000000000001</v>
      </c>
      <c r="Q10" s="55">
        <v>0.89339999999999997</v>
      </c>
      <c r="R10" s="55">
        <v>0.9204</v>
      </c>
      <c r="S10" s="55">
        <v>0.90669999999999995</v>
      </c>
      <c r="T10" t="s">
        <v>567</v>
      </c>
      <c r="U10" s="21"/>
    </row>
    <row r="11" spans="1:24" s="53" customFormat="1" x14ac:dyDescent="0.4">
      <c r="A11" s="64" t="s">
        <v>509</v>
      </c>
      <c r="B11" s="21" t="s">
        <v>502</v>
      </c>
      <c r="C11" s="21" t="s">
        <v>275</v>
      </c>
      <c r="D11" s="21">
        <v>256</v>
      </c>
      <c r="E11" t="s">
        <v>100</v>
      </c>
      <c r="F11" s="21">
        <v>90</v>
      </c>
      <c r="G11" s="21" t="b">
        <v>0</v>
      </c>
      <c r="H11" s="21" t="s">
        <v>276</v>
      </c>
      <c r="I11" s="21" t="s">
        <v>60</v>
      </c>
      <c r="J11" s="21" t="s">
        <v>365</v>
      </c>
      <c r="L11"/>
      <c r="M11"/>
      <c r="N11" s="60"/>
      <c r="O11" s="60"/>
      <c r="P11" s="60"/>
      <c r="Q11" s="60"/>
      <c r="R11" s="60"/>
      <c r="S11" s="60"/>
      <c r="T11" t="s">
        <v>568</v>
      </c>
      <c r="U11"/>
      <c r="V11"/>
      <c r="W11"/>
      <c r="X11"/>
    </row>
    <row r="12" spans="1:24" x14ac:dyDescent="0.4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24" x14ac:dyDescent="0.4">
      <c r="A13" s="21"/>
      <c r="B13" s="21"/>
      <c r="C13" s="21"/>
      <c r="D13" s="21"/>
      <c r="E13" s="21"/>
      <c r="F13" s="21"/>
      <c r="G13" s="21"/>
      <c r="H13" s="21"/>
      <c r="I13" s="21"/>
      <c r="J13" s="21"/>
      <c r="M13" s="21"/>
      <c r="N13" s="55"/>
      <c r="O13" s="55"/>
      <c r="P13" s="55"/>
      <c r="Q13" s="55"/>
      <c r="R13" s="55"/>
      <c r="S13" s="55"/>
      <c r="T13" s="19"/>
      <c r="U13" s="21"/>
    </row>
    <row r="14" spans="1:24" x14ac:dyDescent="0.4">
      <c r="A14" s="32" t="s">
        <v>520</v>
      </c>
      <c r="B14" s="21" t="s">
        <v>523</v>
      </c>
    </row>
    <row r="18" spans="1:2" x14ac:dyDescent="0.4">
      <c r="A18" s="65" t="s">
        <v>604</v>
      </c>
      <c r="B18" s="21" t="s">
        <v>606</v>
      </c>
    </row>
    <row r="22" spans="1:2" x14ac:dyDescent="0.4">
      <c r="A22" s="20" t="s">
        <v>627</v>
      </c>
      <c r="B22" s="21" t="s">
        <v>629</v>
      </c>
    </row>
  </sheetData>
  <phoneticPr fontId="2" type="noConversion"/>
  <conditionalFormatting sqref="K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1:N104857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04857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:Q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:R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7F87-0085-4DC7-93EF-26EFA2000176}">
  <dimension ref="A1:M39"/>
  <sheetViews>
    <sheetView zoomScale="85" zoomScaleNormal="85" workbookViewId="0">
      <selection activeCell="C9" sqref="C9"/>
    </sheetView>
  </sheetViews>
  <sheetFormatPr defaultColWidth="8.69921875" defaultRowHeight="20.399999999999999" x14ac:dyDescent="0.4"/>
  <cols>
    <col min="1" max="1" width="20.19921875" style="1" customWidth="1"/>
    <col min="2" max="2" width="13.796875" style="1" customWidth="1"/>
    <col min="3" max="9" width="20.19921875" style="1" customWidth="1"/>
    <col min="10" max="10" width="19.5" style="1" customWidth="1"/>
    <col min="11" max="11" width="16.3984375" style="1" customWidth="1"/>
    <col min="12" max="12" width="15.19921875" style="1" customWidth="1"/>
    <col min="13" max="13" width="20" style="17" customWidth="1"/>
    <col min="14" max="16384" width="8.69921875" style="1"/>
  </cols>
  <sheetData>
    <row r="1" spans="1:13" x14ac:dyDescent="0.4">
      <c r="A1" s="1" t="s">
        <v>141</v>
      </c>
      <c r="B1" s="1" t="s">
        <v>141</v>
      </c>
    </row>
    <row r="2" spans="1:13" s="5" customFormat="1" ht="61.2" x14ac:dyDescent="0.4">
      <c r="A2" s="16" t="s">
        <v>63</v>
      </c>
      <c r="B2" s="16" t="s">
        <v>12</v>
      </c>
      <c r="C2" s="16" t="s">
        <v>24</v>
      </c>
      <c r="D2" s="16" t="s">
        <v>64</v>
      </c>
      <c r="E2" s="16" t="s">
        <v>25</v>
      </c>
      <c r="F2" s="16" t="s">
        <v>33</v>
      </c>
      <c r="G2" s="16" t="s">
        <v>13</v>
      </c>
      <c r="H2" s="16" t="s">
        <v>14</v>
      </c>
      <c r="I2" s="16" t="s">
        <v>15</v>
      </c>
      <c r="J2" s="16" t="s">
        <v>16</v>
      </c>
      <c r="K2" s="16" t="s">
        <v>17</v>
      </c>
      <c r="L2" s="16" t="s">
        <v>18</v>
      </c>
      <c r="M2" s="18"/>
    </row>
    <row r="3" spans="1:13" x14ac:dyDescent="0.4">
      <c r="A3" s="1" t="s">
        <v>2</v>
      </c>
      <c r="B3" s="1" t="s">
        <v>23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</row>
    <row r="4" spans="1:13" x14ac:dyDescent="0.4">
      <c r="A4" s="1" t="s">
        <v>3</v>
      </c>
      <c r="B4" s="1">
        <v>60</v>
      </c>
      <c r="C4" s="1" t="s">
        <v>502</v>
      </c>
      <c r="D4" s="5" t="s">
        <v>94</v>
      </c>
      <c r="E4" s="5">
        <v>99.85</v>
      </c>
      <c r="F4" s="5">
        <v>91.45</v>
      </c>
      <c r="G4" s="5">
        <v>0.94579999999999997</v>
      </c>
      <c r="H4" s="1" t="s">
        <v>104</v>
      </c>
      <c r="I4" s="1">
        <v>0.91549999999999998</v>
      </c>
      <c r="J4" s="1">
        <v>0.88439999999999996</v>
      </c>
      <c r="K4" s="5">
        <v>0.94440000000000002</v>
      </c>
      <c r="L4" s="5">
        <v>0.91339999999999999</v>
      </c>
      <c r="M4" s="17" t="s">
        <v>42</v>
      </c>
    </row>
    <row r="5" spans="1:13" x14ac:dyDescent="0.4">
      <c r="A5" s="1" t="s">
        <v>4</v>
      </c>
      <c r="B5" s="1">
        <v>60</v>
      </c>
      <c r="C5" s="1" t="s">
        <v>502</v>
      </c>
      <c r="D5" s="1" t="s">
        <v>95</v>
      </c>
      <c r="E5" s="5">
        <v>99.85</v>
      </c>
      <c r="F5" s="5">
        <v>91.45</v>
      </c>
      <c r="G5" s="1">
        <v>0.92049999999999998</v>
      </c>
      <c r="H5" s="5">
        <v>0.9153</v>
      </c>
      <c r="I5" s="5">
        <v>0.91779999999999995</v>
      </c>
      <c r="J5" s="5">
        <v>0.90800000000000003</v>
      </c>
      <c r="K5" s="1">
        <v>0.91359999999999997</v>
      </c>
      <c r="L5" s="1">
        <v>0.91080000000000005</v>
      </c>
      <c r="M5" s="17" t="s">
        <v>43</v>
      </c>
    </row>
    <row r="6" spans="1:13" x14ac:dyDescent="0.4">
      <c r="A6" s="1" t="s">
        <v>6</v>
      </c>
      <c r="B6" s="1">
        <v>60</v>
      </c>
      <c r="C6" s="1" t="s">
        <v>502</v>
      </c>
      <c r="D6" s="1" t="s">
        <v>96</v>
      </c>
      <c r="E6" s="1" t="s">
        <v>107</v>
      </c>
      <c r="F6" s="1">
        <v>89.97</v>
      </c>
      <c r="G6" s="1">
        <v>0.9133</v>
      </c>
      <c r="H6" s="1">
        <v>0.89270000000000005</v>
      </c>
      <c r="I6" s="1">
        <v>0.90290000000000004</v>
      </c>
      <c r="J6" s="1">
        <v>0.88549999999999995</v>
      </c>
      <c r="K6" s="1">
        <v>0.90739999999999998</v>
      </c>
      <c r="L6" s="1">
        <v>0.89629999999999999</v>
      </c>
      <c r="M6" s="17" t="s">
        <v>97</v>
      </c>
    </row>
    <row r="7" spans="1:13" x14ac:dyDescent="0.4">
      <c r="A7" s="1" t="s">
        <v>5</v>
      </c>
      <c r="B7" s="1">
        <v>60</v>
      </c>
      <c r="C7" s="1" t="s">
        <v>502</v>
      </c>
      <c r="D7" s="1" t="s">
        <v>98</v>
      </c>
      <c r="E7" s="1">
        <v>91.65</v>
      </c>
      <c r="F7" s="1">
        <v>87.61</v>
      </c>
      <c r="G7" s="1">
        <v>0.87709999999999999</v>
      </c>
      <c r="H7" s="1" t="s">
        <v>104</v>
      </c>
      <c r="I7" s="1" t="s">
        <v>105</v>
      </c>
      <c r="J7" s="1" t="s">
        <v>106</v>
      </c>
      <c r="K7" s="1">
        <v>0.86419999999999997</v>
      </c>
      <c r="L7" s="1">
        <v>0.86960000000000004</v>
      </c>
      <c r="M7" s="17" t="s">
        <v>44</v>
      </c>
    </row>
    <row r="10" spans="1:13" x14ac:dyDescent="0.4">
      <c r="A10" s="1" t="s">
        <v>142</v>
      </c>
      <c r="B10" s="1" t="s">
        <v>142</v>
      </c>
    </row>
    <row r="11" spans="1:13" s="5" customFormat="1" ht="61.2" x14ac:dyDescent="0.4">
      <c r="A11" s="16" t="s">
        <v>63</v>
      </c>
      <c r="B11" s="16" t="s">
        <v>12</v>
      </c>
      <c r="C11" s="16" t="s">
        <v>24</v>
      </c>
      <c r="D11" s="16" t="s">
        <v>64</v>
      </c>
      <c r="E11" s="16" t="s">
        <v>25</v>
      </c>
      <c r="F11" s="16" t="s">
        <v>33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8"/>
    </row>
    <row r="12" spans="1:13" x14ac:dyDescent="0.4">
      <c r="A12" s="1" t="s">
        <v>2</v>
      </c>
      <c r="B12" s="1" t="s">
        <v>23</v>
      </c>
      <c r="C12" s="1" t="s">
        <v>23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</row>
    <row r="13" spans="1:13" x14ac:dyDescent="0.4">
      <c r="A13" s="1" t="s">
        <v>3</v>
      </c>
      <c r="B13" s="1">
        <v>90</v>
      </c>
      <c r="C13" s="1" t="s">
        <v>502</v>
      </c>
      <c r="D13" s="1" t="s">
        <v>160</v>
      </c>
      <c r="E13" s="1" t="s">
        <v>161</v>
      </c>
      <c r="F13" s="5" t="s">
        <v>126</v>
      </c>
      <c r="G13" s="5" t="s">
        <v>162</v>
      </c>
      <c r="H13" s="1" t="s">
        <v>120</v>
      </c>
      <c r="I13" s="5" t="s">
        <v>163</v>
      </c>
      <c r="J13" s="1" t="s">
        <v>164</v>
      </c>
      <c r="K13" s="5" t="s">
        <v>165</v>
      </c>
      <c r="L13" s="5" t="s">
        <v>118</v>
      </c>
      <c r="M13" s="17" t="s">
        <v>147</v>
      </c>
    </row>
    <row r="14" spans="1:13" x14ac:dyDescent="0.4">
      <c r="A14" s="1" t="s">
        <v>4</v>
      </c>
      <c r="B14" s="1">
        <v>90</v>
      </c>
      <c r="C14" s="1" t="s">
        <v>502</v>
      </c>
      <c r="D14" s="1" t="s">
        <v>166</v>
      </c>
      <c r="E14" s="1" t="s">
        <v>167</v>
      </c>
      <c r="F14" s="1" t="s">
        <v>168</v>
      </c>
      <c r="G14" s="1" t="s">
        <v>169</v>
      </c>
      <c r="H14" s="1" t="s">
        <v>78</v>
      </c>
      <c r="I14" s="1" t="s">
        <v>157</v>
      </c>
      <c r="J14" s="1" t="s">
        <v>170</v>
      </c>
      <c r="K14" s="5" t="s">
        <v>165</v>
      </c>
      <c r="L14" s="1" t="s">
        <v>171</v>
      </c>
      <c r="M14" s="17" t="s">
        <v>149</v>
      </c>
    </row>
    <row r="15" spans="1:13" x14ac:dyDescent="0.4">
      <c r="A15" s="1" t="s">
        <v>6</v>
      </c>
      <c r="B15" s="1">
        <v>90</v>
      </c>
      <c r="C15" s="1" t="s">
        <v>502</v>
      </c>
      <c r="D15" s="1" t="s">
        <v>151</v>
      </c>
      <c r="E15" s="1" t="s">
        <v>152</v>
      </c>
      <c r="F15" s="1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7" t="s">
        <v>148</v>
      </c>
    </row>
    <row r="16" spans="1:13" x14ac:dyDescent="0.4">
      <c r="A16" s="1" t="s">
        <v>123</v>
      </c>
      <c r="B16" s="1">
        <v>90</v>
      </c>
      <c r="C16" s="1" t="s">
        <v>502</v>
      </c>
      <c r="D16" s="1" t="s">
        <v>172</v>
      </c>
      <c r="E16" s="1" t="s">
        <v>173</v>
      </c>
      <c r="F16" s="1" t="s">
        <v>174</v>
      </c>
      <c r="G16" s="1" t="s">
        <v>119</v>
      </c>
      <c r="H16" s="1" t="s">
        <v>119</v>
      </c>
      <c r="I16" s="1" t="s">
        <v>119</v>
      </c>
      <c r="J16" s="1" t="s">
        <v>75</v>
      </c>
      <c r="K16" s="1" t="s">
        <v>75</v>
      </c>
      <c r="L16" s="1" t="s">
        <v>75</v>
      </c>
      <c r="M16" s="17" t="s">
        <v>150</v>
      </c>
    </row>
    <row r="18" spans="1:13" x14ac:dyDescent="0.4">
      <c r="C18" s="1" t="s">
        <v>179</v>
      </c>
      <c r="D18" s="1">
        <v>0.14729999999999999</v>
      </c>
      <c r="E18" s="1">
        <v>94.84</v>
      </c>
      <c r="F18" s="1">
        <v>88.2</v>
      </c>
      <c r="G18" s="1">
        <v>8914</v>
      </c>
      <c r="H18" s="5">
        <v>8814</v>
      </c>
      <c r="I18" s="1">
        <v>8864</v>
      </c>
      <c r="J18" s="5">
        <v>8720</v>
      </c>
      <c r="K18" s="1">
        <v>8827</v>
      </c>
      <c r="L18" s="1">
        <v>8773</v>
      </c>
      <c r="M18" s="17" t="s">
        <v>176</v>
      </c>
    </row>
    <row r="19" spans="1:13" x14ac:dyDescent="0.4">
      <c r="A19" s="1" t="s">
        <v>143</v>
      </c>
      <c r="B19" s="1" t="s">
        <v>143</v>
      </c>
    </row>
    <row r="20" spans="1:13" s="5" customFormat="1" ht="61.2" x14ac:dyDescent="0.4">
      <c r="A20" s="16" t="s">
        <v>63</v>
      </c>
      <c r="B20" s="16" t="s">
        <v>12</v>
      </c>
      <c r="C20" s="16" t="s">
        <v>24</v>
      </c>
      <c r="D20" s="16" t="s">
        <v>64</v>
      </c>
      <c r="E20" s="16" t="s">
        <v>25</v>
      </c>
      <c r="F20" s="16" t="s">
        <v>33</v>
      </c>
      <c r="G20" s="16" t="s">
        <v>13</v>
      </c>
      <c r="H20" s="16" t="s">
        <v>14</v>
      </c>
      <c r="I20" s="16" t="s">
        <v>15</v>
      </c>
      <c r="J20" s="16" t="s">
        <v>16</v>
      </c>
      <c r="K20" s="16" t="s">
        <v>17</v>
      </c>
      <c r="L20" s="16" t="s">
        <v>18</v>
      </c>
      <c r="M20" s="18"/>
    </row>
    <row r="21" spans="1:13" x14ac:dyDescent="0.4">
      <c r="A21" s="1" t="s">
        <v>2</v>
      </c>
      <c r="B21" s="1" t="s">
        <v>23</v>
      </c>
      <c r="C21" s="1" t="s">
        <v>23</v>
      </c>
      <c r="D21" s="1" t="s">
        <v>23</v>
      </c>
      <c r="E21" s="1" t="s">
        <v>23</v>
      </c>
      <c r="F21" s="1" t="s">
        <v>23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</row>
    <row r="22" spans="1:13" x14ac:dyDescent="0.4">
      <c r="A22" s="1" t="s">
        <v>3</v>
      </c>
      <c r="B22" s="1">
        <v>90</v>
      </c>
      <c r="C22" s="1" t="s">
        <v>502</v>
      </c>
      <c r="D22" s="1">
        <v>0.30220000000000002</v>
      </c>
      <c r="E22" s="1">
        <v>88.67</v>
      </c>
      <c r="F22" s="1">
        <v>84.37</v>
      </c>
      <c r="G22" s="1" t="s">
        <v>68</v>
      </c>
      <c r="H22" s="1" t="s">
        <v>78</v>
      </c>
      <c r="I22" s="1" t="s">
        <v>79</v>
      </c>
      <c r="J22" s="1" t="s">
        <v>80</v>
      </c>
      <c r="K22" s="5" t="s">
        <v>81</v>
      </c>
      <c r="L22" s="1" t="s">
        <v>82</v>
      </c>
      <c r="M22" s="17" t="s">
        <v>108</v>
      </c>
    </row>
    <row r="23" spans="1:13" x14ac:dyDescent="0.4">
      <c r="A23" s="1" t="s">
        <v>4</v>
      </c>
      <c r="B23" s="1">
        <v>90</v>
      </c>
      <c r="C23" s="1" t="s">
        <v>502</v>
      </c>
      <c r="D23" s="1">
        <v>0.21440000000000001</v>
      </c>
      <c r="E23" s="1">
        <v>90.94</v>
      </c>
      <c r="F23" s="1">
        <v>84.37</v>
      </c>
      <c r="G23" s="1" t="s">
        <v>69</v>
      </c>
      <c r="H23" s="1" t="s">
        <v>72</v>
      </c>
      <c r="I23" s="1" t="s">
        <v>73</v>
      </c>
      <c r="J23" s="1" t="s">
        <v>74</v>
      </c>
      <c r="K23" s="1" t="s">
        <v>76</v>
      </c>
      <c r="L23" s="1" t="s">
        <v>77</v>
      </c>
      <c r="M23" s="17" t="s">
        <v>108</v>
      </c>
    </row>
    <row r="24" spans="1:13" x14ac:dyDescent="0.4">
      <c r="A24" s="1" t="s">
        <v>6</v>
      </c>
      <c r="B24" s="1">
        <v>90</v>
      </c>
      <c r="C24" s="1" t="s">
        <v>502</v>
      </c>
      <c r="D24" s="1" t="s">
        <v>67</v>
      </c>
      <c r="E24" s="1">
        <v>91.09</v>
      </c>
      <c r="F24" s="1">
        <v>84.37</v>
      </c>
      <c r="G24" s="1" t="s">
        <v>70</v>
      </c>
      <c r="H24" s="1" t="s">
        <v>71</v>
      </c>
      <c r="I24" s="1" t="s">
        <v>83</v>
      </c>
      <c r="J24" s="1" t="s">
        <v>84</v>
      </c>
      <c r="K24" s="1" t="s">
        <v>85</v>
      </c>
      <c r="L24" s="1" t="s">
        <v>86</v>
      </c>
      <c r="M24" s="17" t="s">
        <v>108</v>
      </c>
    </row>
    <row r="25" spans="1:13" x14ac:dyDescent="0.4">
      <c r="A25" s="1" t="s">
        <v>123</v>
      </c>
      <c r="B25" s="1">
        <v>90</v>
      </c>
      <c r="C25" s="1" t="s">
        <v>502</v>
      </c>
      <c r="D25" s="1" t="s">
        <v>172</v>
      </c>
      <c r="E25" s="1" t="s">
        <v>173</v>
      </c>
      <c r="F25" s="5" t="s">
        <v>174</v>
      </c>
      <c r="G25" s="5" t="s">
        <v>119</v>
      </c>
      <c r="H25" s="5" t="s">
        <v>119</v>
      </c>
      <c r="I25" s="5" t="s">
        <v>119</v>
      </c>
      <c r="J25" s="5" t="s">
        <v>75</v>
      </c>
      <c r="K25" s="1" t="s">
        <v>75</v>
      </c>
      <c r="L25" s="5" t="s">
        <v>75</v>
      </c>
      <c r="M25" s="17" t="s">
        <v>150</v>
      </c>
    </row>
    <row r="27" spans="1:13" x14ac:dyDescent="0.4">
      <c r="C27" s="1" t="s">
        <v>181</v>
      </c>
      <c r="D27" s="1">
        <v>0.14729999999999999</v>
      </c>
      <c r="E27" s="1">
        <v>94.84</v>
      </c>
      <c r="F27" s="1">
        <v>88.2</v>
      </c>
      <c r="G27" s="1">
        <v>8914</v>
      </c>
      <c r="H27" s="1">
        <v>8814</v>
      </c>
      <c r="I27" s="1">
        <v>8864</v>
      </c>
      <c r="J27" s="1">
        <v>8720</v>
      </c>
      <c r="K27" s="1">
        <v>8827</v>
      </c>
      <c r="L27" s="1">
        <v>8773</v>
      </c>
      <c r="M27" s="17" t="s">
        <v>176</v>
      </c>
    </row>
    <row r="28" spans="1:13" x14ac:dyDescent="0.4">
      <c r="A28" s="1" t="s">
        <v>144</v>
      </c>
      <c r="B28" s="1" t="s">
        <v>144</v>
      </c>
    </row>
    <row r="29" spans="1:13" s="5" customFormat="1" ht="61.2" x14ac:dyDescent="0.4">
      <c r="A29" s="16" t="s">
        <v>63</v>
      </c>
      <c r="B29" s="16" t="s">
        <v>12</v>
      </c>
      <c r="C29" s="16" t="s">
        <v>24</v>
      </c>
      <c r="D29" s="16" t="s">
        <v>64</v>
      </c>
      <c r="E29" s="16" t="s">
        <v>25</v>
      </c>
      <c r="F29" s="16" t="s">
        <v>33</v>
      </c>
      <c r="G29" s="16" t="s">
        <v>13</v>
      </c>
      <c r="H29" s="16" t="s">
        <v>14</v>
      </c>
      <c r="I29" s="16" t="s">
        <v>15</v>
      </c>
      <c r="J29" s="16" t="s">
        <v>16</v>
      </c>
      <c r="K29" s="16" t="s">
        <v>17</v>
      </c>
      <c r="L29" s="16" t="s">
        <v>18</v>
      </c>
      <c r="M29" s="18"/>
    </row>
    <row r="30" spans="1:13" x14ac:dyDescent="0.4">
      <c r="A30" s="1" t="s">
        <v>2</v>
      </c>
      <c r="B30" s="1" t="s">
        <v>23</v>
      </c>
      <c r="C30" s="1" t="s">
        <v>23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</row>
    <row r="31" spans="1:13" x14ac:dyDescent="0.4">
      <c r="A31" s="1" t="s">
        <v>3</v>
      </c>
      <c r="B31" s="1">
        <v>90</v>
      </c>
      <c r="C31" s="1" t="s">
        <v>502</v>
      </c>
      <c r="D31" s="1" t="s">
        <v>127</v>
      </c>
      <c r="E31" s="1" t="s">
        <v>128</v>
      </c>
      <c r="F31" s="1" t="s">
        <v>129</v>
      </c>
      <c r="G31" s="1" t="s">
        <v>130</v>
      </c>
      <c r="H31" s="1" t="s">
        <v>131</v>
      </c>
      <c r="I31" s="1" t="s">
        <v>130</v>
      </c>
      <c r="J31" s="1" t="s">
        <v>132</v>
      </c>
      <c r="K31" s="1" t="s">
        <v>132</v>
      </c>
      <c r="L31" s="1" t="s">
        <v>132</v>
      </c>
      <c r="M31" s="17" t="s">
        <v>125</v>
      </c>
    </row>
    <row r="32" spans="1:13" x14ac:dyDescent="0.4">
      <c r="A32" s="1" t="s">
        <v>4</v>
      </c>
      <c r="B32" s="1">
        <v>90</v>
      </c>
      <c r="C32" s="1" t="s">
        <v>502</v>
      </c>
      <c r="D32" s="1" t="s">
        <v>236</v>
      </c>
      <c r="E32" s="1" t="s">
        <v>237</v>
      </c>
      <c r="F32" s="5" t="s">
        <v>238</v>
      </c>
      <c r="G32" s="5" t="s">
        <v>239</v>
      </c>
      <c r="H32" s="5" t="s">
        <v>240</v>
      </c>
      <c r="I32" s="5" t="s">
        <v>248</v>
      </c>
      <c r="J32" s="5" t="s">
        <v>241</v>
      </c>
      <c r="K32" s="5" t="s">
        <v>122</v>
      </c>
      <c r="L32" s="5" t="s">
        <v>242</v>
      </c>
      <c r="M32" s="17" t="s">
        <v>243</v>
      </c>
    </row>
    <row r="33" spans="1:13" x14ac:dyDescent="0.4">
      <c r="A33" s="1" t="s">
        <v>6</v>
      </c>
      <c r="B33" s="1">
        <v>90</v>
      </c>
      <c r="C33" s="1" t="s">
        <v>502</v>
      </c>
      <c r="D33" s="1" t="s">
        <v>133</v>
      </c>
      <c r="E33" s="1" t="s">
        <v>134</v>
      </c>
      <c r="F33" s="1" t="s">
        <v>135</v>
      </c>
      <c r="G33" s="1" t="s">
        <v>136</v>
      </c>
      <c r="H33" s="1" t="s">
        <v>137</v>
      </c>
      <c r="I33" s="1" t="s">
        <v>138</v>
      </c>
      <c r="J33" s="1" t="s">
        <v>139</v>
      </c>
      <c r="K33" s="1" t="s">
        <v>121</v>
      </c>
      <c r="L33" s="1" t="s">
        <v>140</v>
      </c>
      <c r="M33" s="17" t="s">
        <v>124</v>
      </c>
    </row>
    <row r="34" spans="1:13" x14ac:dyDescent="0.4">
      <c r="A34" s="1" t="s">
        <v>123</v>
      </c>
      <c r="B34" s="1">
        <v>90</v>
      </c>
      <c r="C34" s="1" t="s">
        <v>502</v>
      </c>
      <c r="D34" s="1" t="s">
        <v>172</v>
      </c>
      <c r="E34" s="1" t="s">
        <v>173</v>
      </c>
      <c r="F34" s="1" t="s">
        <v>174</v>
      </c>
      <c r="G34" s="1" t="s">
        <v>119</v>
      </c>
      <c r="H34" s="1" t="s">
        <v>119</v>
      </c>
      <c r="I34" s="1" t="s">
        <v>119</v>
      </c>
      <c r="J34" s="1" t="s">
        <v>75</v>
      </c>
      <c r="K34" s="1" t="s">
        <v>75</v>
      </c>
      <c r="L34" s="1" t="s">
        <v>75</v>
      </c>
      <c r="M34" s="17" t="s">
        <v>150</v>
      </c>
    </row>
    <row r="36" spans="1:13" x14ac:dyDescent="0.4">
      <c r="C36" s="1" t="s">
        <v>181</v>
      </c>
      <c r="D36" s="1">
        <v>0.14729999999999999</v>
      </c>
      <c r="E36" s="1">
        <v>94.84</v>
      </c>
      <c r="F36" s="1">
        <v>88.2</v>
      </c>
      <c r="G36" s="5" t="s">
        <v>226</v>
      </c>
      <c r="H36" s="1">
        <v>8814</v>
      </c>
      <c r="I36" s="1">
        <v>8864</v>
      </c>
      <c r="J36" s="1">
        <v>8720</v>
      </c>
      <c r="K36" s="1">
        <v>8827</v>
      </c>
      <c r="L36" s="1">
        <v>8773</v>
      </c>
      <c r="M36" s="17" t="s">
        <v>176</v>
      </c>
    </row>
    <row r="39" spans="1:13" x14ac:dyDescent="0.4">
      <c r="C39" s="1" t="s">
        <v>231</v>
      </c>
      <c r="D39" s="1">
        <v>0.1196</v>
      </c>
      <c r="E39" s="1">
        <v>95.55</v>
      </c>
      <c r="F39" s="1">
        <v>87.91</v>
      </c>
      <c r="G39" s="1">
        <v>8696</v>
      </c>
      <c r="H39" s="1">
        <v>9040</v>
      </c>
      <c r="I39" s="1">
        <v>8864</v>
      </c>
      <c r="J39" s="1">
        <v>8903</v>
      </c>
      <c r="K39" s="1">
        <v>8519</v>
      </c>
      <c r="L39" s="1">
        <v>8707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J2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9A2C-CB81-4D62-8BA0-232368B53911}">
  <dimension ref="A2:K36"/>
  <sheetViews>
    <sheetView zoomScale="62" workbookViewId="0">
      <selection activeCell="A12" sqref="A12"/>
    </sheetView>
  </sheetViews>
  <sheetFormatPr defaultRowHeight="17.399999999999999" x14ac:dyDescent="0.4"/>
  <cols>
    <col min="1" max="1" width="36.3984375" bestFit="1" customWidth="1"/>
    <col min="2" max="10" width="13.8984375" customWidth="1"/>
  </cols>
  <sheetData>
    <row r="2" spans="1:11" ht="102" x14ac:dyDescent="0.4">
      <c r="B2" s="16" t="s">
        <v>64</v>
      </c>
      <c r="C2" s="16" t="s">
        <v>25</v>
      </c>
      <c r="D2" s="16" t="s">
        <v>33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</row>
    <row r="3" spans="1:11" ht="20.399999999999999" x14ac:dyDescent="0.4">
      <c r="A3" t="s">
        <v>187</v>
      </c>
      <c r="B3" s="1" t="s">
        <v>172</v>
      </c>
      <c r="C3" s="1" t="s">
        <v>173</v>
      </c>
      <c r="D3" s="1" t="s">
        <v>174</v>
      </c>
      <c r="E3" s="1" t="s">
        <v>119</v>
      </c>
      <c r="F3" s="1" t="s">
        <v>119</v>
      </c>
      <c r="G3" s="1" t="s">
        <v>119</v>
      </c>
      <c r="H3" s="1" t="s">
        <v>75</v>
      </c>
      <c r="I3" s="1" t="s">
        <v>75</v>
      </c>
      <c r="J3" s="1" t="s">
        <v>75</v>
      </c>
    </row>
    <row r="4" spans="1:11" x14ac:dyDescent="0.4">
      <c r="A4" s="27" t="s">
        <v>185</v>
      </c>
      <c r="B4" s="28">
        <v>0.6925</v>
      </c>
      <c r="C4">
        <v>51.8</v>
      </c>
      <c r="D4">
        <v>52.21</v>
      </c>
      <c r="E4">
        <v>5221</v>
      </c>
      <c r="F4">
        <v>1</v>
      </c>
      <c r="G4">
        <v>6860</v>
      </c>
      <c r="H4">
        <v>0</v>
      </c>
      <c r="I4">
        <v>0</v>
      </c>
      <c r="J4">
        <v>0</v>
      </c>
      <c r="K4" t="s">
        <v>177</v>
      </c>
    </row>
    <row r="5" spans="1:11" x14ac:dyDescent="0.4">
      <c r="A5" t="s">
        <v>186</v>
      </c>
      <c r="B5" s="20">
        <v>0.16339999999999999</v>
      </c>
      <c r="C5">
        <v>92.81</v>
      </c>
      <c r="D5" s="20">
        <v>87.61</v>
      </c>
      <c r="E5" s="20">
        <v>9141</v>
      </c>
      <c r="F5">
        <v>8418</v>
      </c>
      <c r="G5" s="20">
        <v>8765</v>
      </c>
      <c r="H5">
        <v>8409</v>
      </c>
      <c r="I5" s="20">
        <v>9136</v>
      </c>
      <c r="J5">
        <v>8757</v>
      </c>
      <c r="K5" t="s">
        <v>178</v>
      </c>
    </row>
    <row r="6" spans="1:11" x14ac:dyDescent="0.4">
      <c r="A6" t="s">
        <v>182</v>
      </c>
      <c r="B6" s="20">
        <v>0.15110000000000001</v>
      </c>
      <c r="C6">
        <v>94.45</v>
      </c>
      <c r="D6">
        <v>87.02</v>
      </c>
      <c r="E6">
        <v>8935</v>
      </c>
      <c r="F6">
        <v>8531</v>
      </c>
      <c r="G6">
        <v>8728</v>
      </c>
      <c r="H6">
        <v>8471</v>
      </c>
      <c r="I6">
        <v>8889</v>
      </c>
      <c r="J6">
        <v>8675</v>
      </c>
      <c r="K6" t="s">
        <v>180</v>
      </c>
    </row>
    <row r="7" spans="1:11" s="29" customFormat="1" x14ac:dyDescent="0.4">
      <c r="A7" s="29" t="s">
        <v>179</v>
      </c>
      <c r="B7" s="30">
        <v>0.14729999999999999</v>
      </c>
      <c r="C7" s="29">
        <v>94.84</v>
      </c>
      <c r="D7" s="30">
        <v>88.2</v>
      </c>
      <c r="E7" s="29">
        <v>8914</v>
      </c>
      <c r="F7" s="30">
        <v>8814</v>
      </c>
      <c r="G7" s="30">
        <v>8864</v>
      </c>
      <c r="H7" s="29">
        <v>8720</v>
      </c>
      <c r="I7" s="29">
        <v>8827</v>
      </c>
      <c r="J7" s="29">
        <v>8773</v>
      </c>
      <c r="K7" s="30" t="s">
        <v>176</v>
      </c>
    </row>
    <row r="8" spans="1:11" s="29" customFormat="1" x14ac:dyDescent="0.4">
      <c r="A8" s="29" t="s">
        <v>188</v>
      </c>
      <c r="B8" s="30">
        <v>0.14319999999999999</v>
      </c>
      <c r="C8" s="29">
        <v>95</v>
      </c>
      <c r="D8" s="30">
        <v>87.91</v>
      </c>
      <c r="E8" s="29">
        <v>8908</v>
      </c>
      <c r="F8" s="29">
        <v>8757</v>
      </c>
      <c r="G8" s="30">
        <v>8832</v>
      </c>
      <c r="H8" s="29">
        <v>8667</v>
      </c>
      <c r="I8" s="29">
        <v>8827</v>
      </c>
      <c r="J8" s="29">
        <v>8746</v>
      </c>
      <c r="K8" s="29" t="s">
        <v>183</v>
      </c>
    </row>
    <row r="9" spans="1:11" x14ac:dyDescent="0.4">
      <c r="A9" t="s">
        <v>191</v>
      </c>
      <c r="B9" s="20">
        <v>0.13719999999999999</v>
      </c>
      <c r="C9">
        <v>94.53</v>
      </c>
      <c r="D9" s="20">
        <v>87.32</v>
      </c>
      <c r="E9">
        <v>8722</v>
      </c>
      <c r="F9" s="20">
        <v>8870</v>
      </c>
      <c r="G9" s="20">
        <v>8796</v>
      </c>
      <c r="H9">
        <v>8742</v>
      </c>
      <c r="I9">
        <v>8580</v>
      </c>
      <c r="J9">
        <v>8660</v>
      </c>
      <c r="K9" t="s">
        <v>192</v>
      </c>
    </row>
    <row r="10" spans="1:11" x14ac:dyDescent="0.4">
      <c r="A10" s="27" t="s">
        <v>189</v>
      </c>
      <c r="B10" s="28">
        <v>0.24879999999999999</v>
      </c>
      <c r="C10">
        <v>89.92</v>
      </c>
      <c r="D10">
        <v>87.02</v>
      </c>
      <c r="E10">
        <v>8889</v>
      </c>
      <c r="F10">
        <v>8588</v>
      </c>
      <c r="G10">
        <v>8736</v>
      </c>
      <c r="H10">
        <v>8512</v>
      </c>
      <c r="I10">
        <v>8827</v>
      </c>
      <c r="J10">
        <v>8667</v>
      </c>
      <c r="K10" t="s">
        <v>190</v>
      </c>
    </row>
    <row r="11" spans="1:11" x14ac:dyDescent="0.4">
      <c r="A11" s="21" t="s">
        <v>184</v>
      </c>
      <c r="B11" s="21">
        <v>0.19850000000000001</v>
      </c>
      <c r="C11">
        <v>91.72</v>
      </c>
      <c r="D11" s="20">
        <v>87.61</v>
      </c>
      <c r="E11">
        <v>8729</v>
      </c>
      <c r="F11" s="20">
        <v>8927</v>
      </c>
      <c r="G11" s="20">
        <v>8827</v>
      </c>
      <c r="H11">
        <v>8797</v>
      </c>
      <c r="I11">
        <v>8580</v>
      </c>
      <c r="J11">
        <v>8688</v>
      </c>
      <c r="K11" t="s">
        <v>175</v>
      </c>
    </row>
    <row r="12" spans="1:11" x14ac:dyDescent="0.4">
      <c r="A12" t="s">
        <v>196</v>
      </c>
      <c r="B12" s="20">
        <v>0.15859999999999999</v>
      </c>
      <c r="C12">
        <v>93.91</v>
      </c>
      <c r="D12" s="20">
        <v>86.43</v>
      </c>
      <c r="E12">
        <v>8830</v>
      </c>
      <c r="F12">
        <v>8531</v>
      </c>
      <c r="G12">
        <v>8678</v>
      </c>
      <c r="H12">
        <v>8452</v>
      </c>
      <c r="I12">
        <v>8765</v>
      </c>
      <c r="J12">
        <v>8606</v>
      </c>
      <c r="K12" t="s">
        <v>193</v>
      </c>
    </row>
    <row r="13" spans="1:11" x14ac:dyDescent="0.4">
      <c r="A13" s="27" t="s">
        <v>195</v>
      </c>
      <c r="B13">
        <v>0.1178</v>
      </c>
      <c r="C13">
        <v>95</v>
      </c>
      <c r="D13" s="21">
        <v>85.55</v>
      </c>
      <c r="E13">
        <v>8596</v>
      </c>
      <c r="F13">
        <v>8644</v>
      </c>
      <c r="G13">
        <v>8620</v>
      </c>
      <c r="H13">
        <v>8509</v>
      </c>
      <c r="I13">
        <v>8457</v>
      </c>
      <c r="J13">
        <v>8483</v>
      </c>
      <c r="K13" t="s">
        <v>194</v>
      </c>
    </row>
    <row r="14" spans="1:11" x14ac:dyDescent="0.4">
      <c r="A14" t="s">
        <v>197</v>
      </c>
      <c r="B14">
        <v>0.1173</v>
      </c>
      <c r="C14">
        <v>95</v>
      </c>
      <c r="D14" s="20">
        <v>87.32</v>
      </c>
      <c r="E14">
        <v>8941</v>
      </c>
      <c r="F14">
        <v>8588</v>
      </c>
      <c r="G14">
        <v>8761</v>
      </c>
      <c r="H14">
        <v>8521</v>
      </c>
      <c r="I14">
        <v>8889</v>
      </c>
      <c r="J14">
        <v>8701</v>
      </c>
      <c r="K14" t="s">
        <v>198</v>
      </c>
    </row>
    <row r="15" spans="1:11" x14ac:dyDescent="0.4">
      <c r="A15" s="21" t="s">
        <v>200</v>
      </c>
      <c r="B15">
        <v>0.20810000000000001</v>
      </c>
      <c r="C15">
        <v>91.72</v>
      </c>
      <c r="D15" s="20">
        <v>87.32</v>
      </c>
      <c r="E15">
        <v>9036</v>
      </c>
      <c r="F15">
        <v>8475</v>
      </c>
      <c r="G15">
        <v>8746</v>
      </c>
      <c r="H15">
        <v>8439</v>
      </c>
      <c r="I15">
        <v>9012</v>
      </c>
      <c r="J15">
        <v>8716</v>
      </c>
      <c r="K15" t="s">
        <v>199</v>
      </c>
    </row>
    <row r="16" spans="1:11" x14ac:dyDescent="0.4">
      <c r="A16" t="s">
        <v>201</v>
      </c>
      <c r="B16">
        <v>0.1578</v>
      </c>
      <c r="C16">
        <v>94.69</v>
      </c>
      <c r="D16" s="20">
        <v>86.73</v>
      </c>
      <c r="E16">
        <v>8438</v>
      </c>
      <c r="F16">
        <v>9153</v>
      </c>
      <c r="G16">
        <v>8780</v>
      </c>
      <c r="H16">
        <v>8980</v>
      </c>
      <c r="I16">
        <v>8148</v>
      </c>
      <c r="J16">
        <v>8544</v>
      </c>
      <c r="K16" t="s">
        <v>202</v>
      </c>
    </row>
    <row r="17" spans="1:11" x14ac:dyDescent="0.4">
      <c r="A17" t="s">
        <v>204</v>
      </c>
      <c r="B17">
        <v>0.16109999999999999</v>
      </c>
      <c r="C17">
        <v>94.38</v>
      </c>
      <c r="D17" s="20">
        <v>86.73</v>
      </c>
      <c r="E17">
        <v>8587</v>
      </c>
      <c r="F17">
        <v>8927</v>
      </c>
      <c r="G17">
        <v>8753</v>
      </c>
      <c r="H17">
        <v>8774</v>
      </c>
      <c r="I17">
        <v>8395</v>
      </c>
      <c r="J17">
        <v>8580</v>
      </c>
      <c r="K17" t="s">
        <v>203</v>
      </c>
    </row>
    <row r="19" spans="1:11" x14ac:dyDescent="0.4">
      <c r="A19" t="s">
        <v>205</v>
      </c>
    </row>
    <row r="21" spans="1:11" x14ac:dyDescent="0.4">
      <c r="A21" t="s">
        <v>206</v>
      </c>
      <c r="B21">
        <v>0.14449999999999999</v>
      </c>
      <c r="C21">
        <v>94.77</v>
      </c>
      <c r="D21">
        <v>88.2</v>
      </c>
      <c r="E21">
        <v>8914</v>
      </c>
      <c r="F21">
        <v>8814</v>
      </c>
      <c r="G21">
        <v>8864</v>
      </c>
      <c r="H21">
        <v>8720</v>
      </c>
      <c r="I21">
        <v>8827</v>
      </c>
      <c r="J21">
        <v>8773</v>
      </c>
      <c r="K21" t="s">
        <v>207</v>
      </c>
    </row>
    <row r="22" spans="1:11" x14ac:dyDescent="0.4">
      <c r="A22" t="s">
        <v>209</v>
      </c>
      <c r="B22">
        <v>0.1239</v>
      </c>
      <c r="C22">
        <v>95.47</v>
      </c>
      <c r="D22">
        <v>87.61</v>
      </c>
      <c r="E22">
        <v>8994</v>
      </c>
      <c r="F22">
        <v>8588</v>
      </c>
      <c r="G22">
        <v>8786</v>
      </c>
      <c r="H22">
        <v>8529</v>
      </c>
      <c r="I22">
        <v>8951</v>
      </c>
      <c r="J22">
        <v>8735</v>
      </c>
      <c r="K22" t="s">
        <v>208</v>
      </c>
    </row>
    <row r="24" spans="1:11" x14ac:dyDescent="0.4">
      <c r="A24" t="s">
        <v>210</v>
      </c>
      <c r="B24">
        <v>0.14319999999999999</v>
      </c>
      <c r="C24">
        <v>94.69</v>
      </c>
      <c r="D24">
        <v>86.14</v>
      </c>
      <c r="E24">
        <v>8571</v>
      </c>
      <c r="F24">
        <v>8814</v>
      </c>
      <c r="G24">
        <v>8691</v>
      </c>
      <c r="H24">
        <v>8662</v>
      </c>
      <c r="I24">
        <v>8395</v>
      </c>
      <c r="J24">
        <v>8527</v>
      </c>
      <c r="K24" t="s">
        <v>211</v>
      </c>
    </row>
    <row r="25" spans="1:11" x14ac:dyDescent="0.4">
      <c r="A25" t="s">
        <v>212</v>
      </c>
      <c r="B25">
        <v>0.14560000000000001</v>
      </c>
      <c r="C25">
        <v>94.84</v>
      </c>
      <c r="D25">
        <v>87.61</v>
      </c>
      <c r="E25">
        <v>9193</v>
      </c>
      <c r="F25">
        <v>8362</v>
      </c>
      <c r="G25">
        <v>8757</v>
      </c>
      <c r="H25">
        <v>8371</v>
      </c>
      <c r="I25">
        <v>9198</v>
      </c>
      <c r="J25">
        <v>8765</v>
      </c>
      <c r="K25" t="s">
        <v>213</v>
      </c>
    </row>
    <row r="26" spans="1:11" x14ac:dyDescent="0.4">
      <c r="A26" t="s">
        <v>247</v>
      </c>
    </row>
    <row r="27" spans="1:11" x14ac:dyDescent="0.4">
      <c r="A27" t="s">
        <v>230</v>
      </c>
      <c r="B27">
        <v>0.28820000000000001</v>
      </c>
      <c r="C27">
        <v>88.44</v>
      </c>
      <c r="D27">
        <v>87.32</v>
      </c>
      <c r="E27">
        <v>8941</v>
      </c>
      <c r="F27">
        <v>8588</v>
      </c>
      <c r="G27">
        <v>8761</v>
      </c>
      <c r="H27">
        <v>8521</v>
      </c>
      <c r="I27">
        <v>8889</v>
      </c>
      <c r="J27">
        <v>8701</v>
      </c>
    </row>
    <row r="28" spans="1:11" x14ac:dyDescent="0.4">
      <c r="A28" t="s">
        <v>232</v>
      </c>
      <c r="B28">
        <v>0.1196</v>
      </c>
      <c r="C28">
        <v>95.55</v>
      </c>
      <c r="D28">
        <v>87.91</v>
      </c>
      <c r="E28">
        <v>8696</v>
      </c>
      <c r="F28">
        <v>9040</v>
      </c>
      <c r="G28" s="20">
        <v>8864</v>
      </c>
      <c r="H28">
        <v>8903</v>
      </c>
      <c r="I28">
        <v>8519</v>
      </c>
      <c r="J28">
        <v>8707</v>
      </c>
    </row>
    <row r="29" spans="1:11" x14ac:dyDescent="0.4">
      <c r="G29" t="s">
        <v>233</v>
      </c>
    </row>
    <row r="31" spans="1:11" x14ac:dyDescent="0.4">
      <c r="A31" t="s">
        <v>234</v>
      </c>
      <c r="B31">
        <v>7.0800000000000002E-2</v>
      </c>
      <c r="C31">
        <v>97.1</v>
      </c>
      <c r="D31">
        <v>86.73</v>
      </c>
      <c r="E31">
        <v>8667</v>
      </c>
      <c r="F31">
        <v>8814</v>
      </c>
      <c r="G31">
        <v>8739</v>
      </c>
      <c r="H31">
        <v>8679</v>
      </c>
      <c r="I31">
        <v>8519</v>
      </c>
      <c r="J31">
        <v>8598</v>
      </c>
      <c r="K31" t="s">
        <v>235</v>
      </c>
    </row>
    <row r="33" spans="1:11" x14ac:dyDescent="0.4">
      <c r="A33" t="s">
        <v>246</v>
      </c>
      <c r="B33">
        <v>0.2666</v>
      </c>
      <c r="C33">
        <v>87.66</v>
      </c>
      <c r="D33">
        <v>87.02</v>
      </c>
      <c r="E33">
        <v>8982</v>
      </c>
      <c r="F33">
        <v>8475</v>
      </c>
      <c r="G33">
        <v>8721</v>
      </c>
      <c r="H33">
        <v>8430</v>
      </c>
      <c r="I33">
        <v>8951</v>
      </c>
      <c r="J33">
        <v>8683</v>
      </c>
      <c r="K33" t="s">
        <v>245</v>
      </c>
    </row>
    <row r="36" spans="1:11" x14ac:dyDescent="0.4">
      <c r="A36" t="s">
        <v>249</v>
      </c>
      <c r="K36" t="s">
        <v>250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C75D-B20C-4DF4-8D50-5B6ECD2343AB}">
  <dimension ref="A1:J57"/>
  <sheetViews>
    <sheetView zoomScale="86" workbookViewId="0">
      <selection activeCell="E15" sqref="E15:I15"/>
    </sheetView>
  </sheetViews>
  <sheetFormatPr defaultRowHeight="17.399999999999999" x14ac:dyDescent="0.4"/>
  <cols>
    <col min="1" max="1" width="20.19921875" style="2" customWidth="1"/>
    <col min="2" max="2" width="11.796875" style="2" customWidth="1"/>
    <col min="3" max="3" width="43.69921875" style="2" customWidth="1"/>
    <col min="4" max="4" width="18.69921875" style="2" customWidth="1"/>
    <col min="5" max="5" width="51.8984375" style="2" customWidth="1"/>
    <col min="6" max="6" width="10.3984375" style="2" customWidth="1"/>
    <col min="7" max="7" width="23.296875" style="2" customWidth="1"/>
    <col min="8" max="8" width="18.296875" style="2" customWidth="1"/>
    <col min="9" max="9" width="18.19921875" style="2" customWidth="1"/>
    <col min="10" max="16384" width="8.796875" style="2"/>
  </cols>
  <sheetData>
    <row r="1" spans="1:9" x14ac:dyDescent="0.4">
      <c r="A1" s="2" t="s">
        <v>141</v>
      </c>
    </row>
    <row r="2" spans="1:9" x14ac:dyDescent="0.4">
      <c r="A2" s="3" t="s">
        <v>63</v>
      </c>
      <c r="B2" s="3" t="s">
        <v>24</v>
      </c>
      <c r="C2" s="3" t="s">
        <v>62</v>
      </c>
      <c r="D2" s="3" t="s">
        <v>61</v>
      </c>
      <c r="E2" s="3" t="s">
        <v>99</v>
      </c>
      <c r="F2" s="3" t="s">
        <v>12</v>
      </c>
      <c r="G2" s="3" t="s">
        <v>54</v>
      </c>
      <c r="H2" s="3" t="s">
        <v>55</v>
      </c>
      <c r="I2" s="3" t="s">
        <v>58</v>
      </c>
    </row>
    <row r="3" spans="1:9" ht="20.55" customHeight="1" x14ac:dyDescent="0.4">
      <c r="A3" s="4" t="s">
        <v>65</v>
      </c>
      <c r="B3" s="4" t="s">
        <v>66</v>
      </c>
      <c r="C3" s="6" t="s">
        <v>53</v>
      </c>
      <c r="D3" s="6">
        <v>256</v>
      </c>
      <c r="E3" s="4" t="s">
        <v>103</v>
      </c>
      <c r="F3" s="4">
        <v>90</v>
      </c>
      <c r="G3" s="6" t="b">
        <v>0</v>
      </c>
      <c r="H3" s="6" t="s">
        <v>56</v>
      </c>
      <c r="I3" s="6" t="s">
        <v>59</v>
      </c>
    </row>
    <row r="4" spans="1:9" x14ac:dyDescent="0.4">
      <c r="A4" s="7" t="s">
        <v>3</v>
      </c>
      <c r="B4" s="7" t="s">
        <v>66</v>
      </c>
      <c r="C4" s="8" t="s">
        <v>53</v>
      </c>
      <c r="D4" s="25">
        <v>64</v>
      </c>
      <c r="E4" s="8" t="s">
        <v>101</v>
      </c>
      <c r="F4" s="7">
        <v>90</v>
      </c>
      <c r="G4" s="8" t="s">
        <v>87</v>
      </c>
      <c r="H4" s="8" t="s">
        <v>57</v>
      </c>
      <c r="I4" s="8" t="s">
        <v>60</v>
      </c>
    </row>
    <row r="5" spans="1:9" x14ac:dyDescent="0.4">
      <c r="A5" s="7" t="s">
        <v>4</v>
      </c>
      <c r="B5" s="7" t="s">
        <v>66</v>
      </c>
      <c r="C5" s="8" t="s">
        <v>53</v>
      </c>
      <c r="D5" s="25">
        <v>64</v>
      </c>
      <c r="E5" s="8" t="s">
        <v>101</v>
      </c>
      <c r="F5" s="7">
        <v>90</v>
      </c>
      <c r="G5" s="8" t="s">
        <v>87</v>
      </c>
      <c r="H5" s="8" t="s">
        <v>57</v>
      </c>
      <c r="I5" s="8" t="s">
        <v>60</v>
      </c>
    </row>
    <row r="6" spans="1:9" x14ac:dyDescent="0.4">
      <c r="A6" s="7" t="s">
        <v>6</v>
      </c>
      <c r="B6" s="7" t="s">
        <v>66</v>
      </c>
      <c r="C6" s="8" t="s">
        <v>53</v>
      </c>
      <c r="D6" s="25">
        <v>64</v>
      </c>
      <c r="E6" s="8" t="s">
        <v>101</v>
      </c>
      <c r="F6" s="7">
        <v>90</v>
      </c>
      <c r="G6" s="8" t="s">
        <v>87</v>
      </c>
      <c r="H6" s="8" t="s">
        <v>57</v>
      </c>
      <c r="I6" s="8" t="s">
        <v>60</v>
      </c>
    </row>
    <row r="7" spans="1:9" x14ac:dyDescent="0.4">
      <c r="A7" s="7" t="s">
        <v>5</v>
      </c>
      <c r="B7" s="7" t="s">
        <v>66</v>
      </c>
      <c r="C7" s="8" t="s">
        <v>53</v>
      </c>
      <c r="D7" s="25">
        <v>64</v>
      </c>
      <c r="E7" s="8" t="s">
        <v>101</v>
      </c>
      <c r="F7" s="7">
        <v>90</v>
      </c>
      <c r="G7" s="8" t="s">
        <v>87</v>
      </c>
      <c r="H7" s="8" t="s">
        <v>57</v>
      </c>
      <c r="I7" s="8" t="s">
        <v>60</v>
      </c>
    </row>
    <row r="9" spans="1:9" x14ac:dyDescent="0.4">
      <c r="A9" s="26" t="s">
        <v>142</v>
      </c>
    </row>
    <row r="10" spans="1:9" x14ac:dyDescent="0.4">
      <c r="A10" s="3" t="s">
        <v>63</v>
      </c>
      <c r="B10" s="3" t="s">
        <v>24</v>
      </c>
      <c r="C10" s="3" t="s">
        <v>62</v>
      </c>
      <c r="D10" s="3" t="s">
        <v>61</v>
      </c>
      <c r="E10" s="3" t="s">
        <v>99</v>
      </c>
      <c r="F10" s="3" t="s">
        <v>12</v>
      </c>
      <c r="G10" s="3" t="s">
        <v>54</v>
      </c>
      <c r="H10" s="3" t="s">
        <v>55</v>
      </c>
      <c r="I10" s="3" t="s">
        <v>58</v>
      </c>
    </row>
    <row r="11" spans="1:9" x14ac:dyDescent="0.4">
      <c r="A11" s="4" t="s">
        <v>65</v>
      </c>
      <c r="B11" s="4" t="s">
        <v>66</v>
      </c>
      <c r="C11" s="6" t="s">
        <v>53</v>
      </c>
      <c r="D11" s="6">
        <v>256</v>
      </c>
      <c r="E11" s="4" t="s">
        <v>103</v>
      </c>
      <c r="F11" s="4">
        <v>90</v>
      </c>
      <c r="G11" s="6" t="b">
        <v>0</v>
      </c>
      <c r="H11" s="6" t="s">
        <v>56</v>
      </c>
      <c r="I11" s="6" t="s">
        <v>59</v>
      </c>
    </row>
    <row r="12" spans="1:9" x14ac:dyDescent="0.4">
      <c r="A12" s="7" t="s">
        <v>3</v>
      </c>
      <c r="B12" s="7" t="s">
        <v>66</v>
      </c>
      <c r="C12" s="8" t="s">
        <v>53</v>
      </c>
      <c r="D12" s="8">
        <v>256</v>
      </c>
      <c r="E12" s="8" t="s">
        <v>101</v>
      </c>
      <c r="F12" s="7">
        <v>90</v>
      </c>
      <c r="G12" s="8" t="b">
        <v>0</v>
      </c>
      <c r="H12" s="8" t="s">
        <v>57</v>
      </c>
      <c r="I12" s="8" t="s">
        <v>117</v>
      </c>
    </row>
    <row r="13" spans="1:9" x14ac:dyDescent="0.4">
      <c r="A13" s="7" t="s">
        <v>4</v>
      </c>
      <c r="B13" s="7" t="s">
        <v>66</v>
      </c>
      <c r="C13" s="8" t="s">
        <v>53</v>
      </c>
      <c r="D13" s="8">
        <v>256</v>
      </c>
      <c r="E13" s="8" t="s">
        <v>101</v>
      </c>
      <c r="F13" s="7">
        <v>90</v>
      </c>
      <c r="G13" s="8" t="b">
        <v>0</v>
      </c>
      <c r="H13" s="8" t="s">
        <v>57</v>
      </c>
      <c r="I13" s="8" t="s">
        <v>117</v>
      </c>
    </row>
    <row r="14" spans="1:9" x14ac:dyDescent="0.4">
      <c r="A14" s="7" t="s">
        <v>6</v>
      </c>
      <c r="B14" s="7" t="s">
        <v>66</v>
      </c>
      <c r="C14" s="8" t="s">
        <v>53</v>
      </c>
      <c r="D14" s="8">
        <v>256</v>
      </c>
      <c r="E14" s="8" t="s">
        <v>101</v>
      </c>
      <c r="F14" s="7">
        <v>90</v>
      </c>
      <c r="G14" s="8" t="b">
        <v>0</v>
      </c>
      <c r="H14" s="8" t="s">
        <v>57</v>
      </c>
      <c r="I14" s="8" t="s">
        <v>117</v>
      </c>
    </row>
    <row r="15" spans="1:9" x14ac:dyDescent="0.4">
      <c r="A15" s="7" t="s">
        <v>5</v>
      </c>
      <c r="B15" s="7" t="s">
        <v>66</v>
      </c>
      <c r="C15" s="8" t="s">
        <v>53</v>
      </c>
      <c r="D15" s="8">
        <v>256</v>
      </c>
      <c r="E15" s="8" t="s">
        <v>101</v>
      </c>
      <c r="F15" s="7">
        <v>90</v>
      </c>
      <c r="G15" s="8" t="b">
        <v>0</v>
      </c>
      <c r="H15" s="8" t="s">
        <v>57</v>
      </c>
      <c r="I15" s="8" t="s">
        <v>117</v>
      </c>
    </row>
    <row r="17" spans="1:9" x14ac:dyDescent="0.4">
      <c r="A17" s="2" t="s">
        <v>143</v>
      </c>
    </row>
    <row r="18" spans="1:9" x14ac:dyDescent="0.4">
      <c r="A18" s="3" t="s">
        <v>63</v>
      </c>
      <c r="B18" s="3" t="s">
        <v>24</v>
      </c>
      <c r="C18" s="3" t="s">
        <v>62</v>
      </c>
      <c r="D18" s="3" t="s">
        <v>61</v>
      </c>
      <c r="E18" s="3" t="s">
        <v>99</v>
      </c>
      <c r="F18" s="3" t="s">
        <v>12</v>
      </c>
      <c r="G18" s="3" t="s">
        <v>54</v>
      </c>
      <c r="H18" s="3" t="s">
        <v>55</v>
      </c>
      <c r="I18" s="3" t="s">
        <v>58</v>
      </c>
    </row>
    <row r="19" spans="1:9" x14ac:dyDescent="0.4">
      <c r="A19" s="4" t="s">
        <v>65</v>
      </c>
      <c r="B19" s="4" t="s">
        <v>66</v>
      </c>
      <c r="C19" s="6" t="s">
        <v>53</v>
      </c>
      <c r="D19" s="6">
        <v>256</v>
      </c>
      <c r="E19" s="4" t="s">
        <v>103</v>
      </c>
      <c r="F19" s="4">
        <v>90</v>
      </c>
      <c r="G19" s="6" t="b">
        <v>0</v>
      </c>
      <c r="H19" s="6" t="s">
        <v>56</v>
      </c>
      <c r="I19" s="6" t="s">
        <v>59</v>
      </c>
    </row>
    <row r="20" spans="1:9" x14ac:dyDescent="0.4">
      <c r="A20" s="7" t="s">
        <v>3</v>
      </c>
      <c r="B20" s="7" t="s">
        <v>66</v>
      </c>
      <c r="C20" s="8" t="s">
        <v>53</v>
      </c>
      <c r="D20" s="8">
        <v>256</v>
      </c>
      <c r="E20" s="8" t="s">
        <v>101</v>
      </c>
      <c r="F20" s="7">
        <v>90</v>
      </c>
      <c r="G20" s="8" t="b">
        <v>0</v>
      </c>
      <c r="H20" s="8" t="s">
        <v>56</v>
      </c>
      <c r="I20" s="8" t="s">
        <v>59</v>
      </c>
    </row>
    <row r="21" spans="1:9" x14ac:dyDescent="0.4">
      <c r="A21" s="7" t="s">
        <v>4</v>
      </c>
      <c r="B21" s="7" t="s">
        <v>66</v>
      </c>
      <c r="C21" s="8" t="s">
        <v>53</v>
      </c>
      <c r="D21" s="8">
        <v>256</v>
      </c>
      <c r="E21" s="8" t="s">
        <v>101</v>
      </c>
      <c r="F21" s="7">
        <v>90</v>
      </c>
      <c r="G21" s="8" t="b">
        <v>0</v>
      </c>
      <c r="H21" s="8" t="s">
        <v>56</v>
      </c>
      <c r="I21" s="8" t="s">
        <v>59</v>
      </c>
    </row>
    <row r="22" spans="1:9" x14ac:dyDescent="0.4">
      <c r="A22" s="7" t="s">
        <v>6</v>
      </c>
      <c r="B22" s="7" t="s">
        <v>66</v>
      </c>
      <c r="C22" s="8" t="s">
        <v>53</v>
      </c>
      <c r="D22" s="8">
        <v>256</v>
      </c>
      <c r="E22" s="8" t="s">
        <v>101</v>
      </c>
      <c r="F22" s="7">
        <v>90</v>
      </c>
      <c r="G22" s="8" t="b">
        <v>0</v>
      </c>
      <c r="H22" s="8" t="s">
        <v>56</v>
      </c>
      <c r="I22" s="8" t="s">
        <v>59</v>
      </c>
    </row>
    <row r="23" spans="1:9" x14ac:dyDescent="0.4">
      <c r="A23" s="7" t="s">
        <v>5</v>
      </c>
      <c r="B23" s="7" t="s">
        <v>66</v>
      </c>
      <c r="C23" s="8" t="s">
        <v>53</v>
      </c>
      <c r="D23" s="8">
        <v>256</v>
      </c>
      <c r="E23" s="8" t="s">
        <v>101</v>
      </c>
      <c r="F23" s="7">
        <v>90</v>
      </c>
      <c r="G23" s="8" t="b">
        <v>0</v>
      </c>
      <c r="H23" s="8" t="s">
        <v>57</v>
      </c>
      <c r="I23" s="8" t="s">
        <v>117</v>
      </c>
    </row>
    <row r="24" spans="1:9" x14ac:dyDescent="0.4">
      <c r="A24" s="7"/>
      <c r="B24" s="7"/>
      <c r="C24" s="8"/>
      <c r="D24" s="8"/>
      <c r="E24" s="8"/>
      <c r="F24" s="7"/>
      <c r="G24" s="8"/>
      <c r="H24" s="8"/>
      <c r="I24" s="8"/>
    </row>
    <row r="28" spans="1:9" x14ac:dyDescent="0.4">
      <c r="A28" s="26" t="s">
        <v>144</v>
      </c>
    </row>
    <row r="29" spans="1:9" x14ac:dyDescent="0.4">
      <c r="A29" s="3" t="s">
        <v>63</v>
      </c>
      <c r="B29" s="3" t="s">
        <v>24</v>
      </c>
      <c r="C29" s="3" t="s">
        <v>62</v>
      </c>
      <c r="D29" s="3" t="s">
        <v>61</v>
      </c>
      <c r="E29" s="3" t="s">
        <v>99</v>
      </c>
      <c r="F29" s="3" t="s">
        <v>12</v>
      </c>
      <c r="G29" s="3" t="s">
        <v>54</v>
      </c>
      <c r="H29" s="3" t="s">
        <v>55</v>
      </c>
      <c r="I29" s="3" t="s">
        <v>58</v>
      </c>
    </row>
    <row r="30" spans="1:9" x14ac:dyDescent="0.4">
      <c r="A30" s="4" t="s">
        <v>65</v>
      </c>
      <c r="B30" s="4" t="s">
        <v>66</v>
      </c>
      <c r="C30" s="6" t="s">
        <v>53</v>
      </c>
      <c r="D30" s="6">
        <v>256</v>
      </c>
      <c r="E30" s="4" t="s">
        <v>103</v>
      </c>
      <c r="F30" s="4">
        <v>90</v>
      </c>
      <c r="G30" s="6" t="b">
        <v>0</v>
      </c>
      <c r="H30" s="6" t="s">
        <v>56</v>
      </c>
      <c r="I30" s="6" t="s">
        <v>59</v>
      </c>
    </row>
    <row r="31" spans="1:9" x14ac:dyDescent="0.4">
      <c r="A31" s="7" t="s">
        <v>3</v>
      </c>
      <c r="B31" s="7" t="s">
        <v>66</v>
      </c>
      <c r="C31" s="8" t="s">
        <v>53</v>
      </c>
      <c r="D31" s="8">
        <v>256</v>
      </c>
      <c r="E31" s="8" t="s">
        <v>102</v>
      </c>
      <c r="F31" s="7">
        <v>90</v>
      </c>
      <c r="G31" s="8" t="b">
        <v>0</v>
      </c>
      <c r="H31" s="8" t="s">
        <v>56</v>
      </c>
      <c r="I31" s="8" t="s">
        <v>59</v>
      </c>
    </row>
    <row r="32" spans="1:9" x14ac:dyDescent="0.4">
      <c r="A32" s="7" t="s">
        <v>4</v>
      </c>
      <c r="B32" s="7" t="s">
        <v>66</v>
      </c>
      <c r="C32" s="8" t="s">
        <v>53</v>
      </c>
      <c r="D32" s="8">
        <v>256</v>
      </c>
      <c r="E32" s="8" t="s">
        <v>103</v>
      </c>
      <c r="F32" s="7">
        <v>90</v>
      </c>
      <c r="G32" s="8" t="b">
        <v>0</v>
      </c>
      <c r="H32" s="8" t="s">
        <v>56</v>
      </c>
      <c r="I32" s="8" t="s">
        <v>59</v>
      </c>
    </row>
    <row r="33" spans="1:10" x14ac:dyDescent="0.4">
      <c r="A33" s="7" t="s">
        <v>6</v>
      </c>
      <c r="B33" s="7" t="s">
        <v>66</v>
      </c>
      <c r="C33" s="8" t="s">
        <v>53</v>
      </c>
      <c r="D33" s="8">
        <v>256</v>
      </c>
      <c r="E33" s="8" t="s">
        <v>102</v>
      </c>
      <c r="F33" s="7">
        <v>90</v>
      </c>
      <c r="G33" s="8" t="b">
        <v>0</v>
      </c>
      <c r="H33" s="8" t="s">
        <v>56</v>
      </c>
      <c r="I33" s="8" t="s">
        <v>59</v>
      </c>
    </row>
    <row r="34" spans="1:10" x14ac:dyDescent="0.4">
      <c r="A34" s="7" t="s">
        <v>5</v>
      </c>
      <c r="B34" s="7" t="s">
        <v>66</v>
      </c>
      <c r="C34" s="8" t="s">
        <v>53</v>
      </c>
      <c r="D34" s="8">
        <v>256</v>
      </c>
      <c r="E34" s="8" t="s">
        <v>101</v>
      </c>
      <c r="F34" s="7">
        <v>90</v>
      </c>
      <c r="G34" s="8" t="b">
        <v>0</v>
      </c>
      <c r="H34" s="8" t="s">
        <v>57</v>
      </c>
      <c r="I34" s="8" t="s">
        <v>117</v>
      </c>
    </row>
    <row r="38" spans="1:10" x14ac:dyDescent="0.4">
      <c r="A38" s="2" t="s">
        <v>145</v>
      </c>
    </row>
    <row r="39" spans="1:10" x14ac:dyDescent="0.4">
      <c r="A39" s="7" t="s">
        <v>5</v>
      </c>
      <c r="B39" s="7" t="s">
        <v>66</v>
      </c>
      <c r="C39" s="8" t="s">
        <v>53</v>
      </c>
      <c r="D39" s="8">
        <v>256</v>
      </c>
      <c r="E39" s="8" t="s">
        <v>103</v>
      </c>
      <c r="F39" s="7">
        <v>90</v>
      </c>
      <c r="G39" s="8" t="b">
        <v>0</v>
      </c>
      <c r="H39" s="8" t="s">
        <v>56</v>
      </c>
      <c r="I39" s="8" t="s">
        <v>59</v>
      </c>
      <c r="J39" s="2" t="s">
        <v>228</v>
      </c>
    </row>
    <row r="42" spans="1:10" x14ac:dyDescent="0.4">
      <c r="A42" s="2" t="s">
        <v>227</v>
      </c>
    </row>
    <row r="43" spans="1:10" x14ac:dyDescent="0.4">
      <c r="A43" s="7" t="s">
        <v>5</v>
      </c>
      <c r="B43" s="7" t="s">
        <v>66</v>
      </c>
      <c r="C43" s="8" t="s">
        <v>53</v>
      </c>
      <c r="D43" s="8">
        <v>256</v>
      </c>
      <c r="E43" s="8" t="s">
        <v>103</v>
      </c>
      <c r="F43" s="7">
        <v>90</v>
      </c>
      <c r="G43" s="8" t="b">
        <v>0</v>
      </c>
      <c r="H43" s="8" t="s">
        <v>57</v>
      </c>
      <c r="I43" s="8" t="s">
        <v>117</v>
      </c>
      <c r="J43" s="2" t="s">
        <v>229</v>
      </c>
    </row>
    <row r="45" spans="1:10" x14ac:dyDescent="0.4">
      <c r="A45" s="2" t="s">
        <v>244</v>
      </c>
    </row>
    <row r="46" spans="1:10" x14ac:dyDescent="0.4">
      <c r="A46" s="7" t="s">
        <v>5</v>
      </c>
      <c r="B46" s="7" t="s">
        <v>66</v>
      </c>
      <c r="C46" s="8" t="s">
        <v>53</v>
      </c>
      <c r="D46" s="8">
        <v>256</v>
      </c>
      <c r="E46" s="8" t="s">
        <v>101</v>
      </c>
      <c r="F46" s="7">
        <v>90</v>
      </c>
      <c r="G46" s="8" t="b">
        <v>0</v>
      </c>
      <c r="H46" s="8" t="s">
        <v>56</v>
      </c>
      <c r="I46" s="8" t="s">
        <v>59</v>
      </c>
      <c r="J46" s="2" t="s">
        <v>245</v>
      </c>
    </row>
    <row r="52" spans="5:9" x14ac:dyDescent="0.4">
      <c r="E52" s="8" t="s">
        <v>103</v>
      </c>
      <c r="F52" s="7">
        <v>90</v>
      </c>
      <c r="G52" s="8" t="b">
        <v>0</v>
      </c>
      <c r="H52" s="8" t="s">
        <v>56</v>
      </c>
      <c r="I52" s="8" t="s">
        <v>59</v>
      </c>
    </row>
    <row r="53" spans="5:9" x14ac:dyDescent="0.4">
      <c r="E53" s="2" t="s">
        <v>251</v>
      </c>
    </row>
    <row r="56" spans="5:9" x14ac:dyDescent="0.4">
      <c r="E56" t="s">
        <v>253</v>
      </c>
    </row>
    <row r="57" spans="5:9" x14ac:dyDescent="0.4">
      <c r="E57" s="2" t="s">
        <v>252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E3D2-ADA8-4356-BFE1-6111EA273D35}">
  <dimension ref="A1:M20"/>
  <sheetViews>
    <sheetView zoomScale="81" zoomScaleNormal="100" workbookViewId="0">
      <selection activeCell="F3" sqref="F3:L3"/>
    </sheetView>
  </sheetViews>
  <sheetFormatPr defaultColWidth="8.69921875" defaultRowHeight="20.399999999999999" x14ac:dyDescent="0.4"/>
  <cols>
    <col min="1" max="9" width="20.19921875" style="1" customWidth="1"/>
    <col min="10" max="10" width="19.09765625" style="1" customWidth="1"/>
    <col min="11" max="11" width="16.3984375" style="1" customWidth="1"/>
    <col min="12" max="12" width="15.19921875" style="1" customWidth="1"/>
    <col min="13" max="13" width="19.09765625" style="17" customWidth="1"/>
    <col min="14" max="16384" width="8.69921875" style="1"/>
  </cols>
  <sheetData>
    <row r="1" spans="1:13" x14ac:dyDescent="0.4">
      <c r="A1" s="1" t="s">
        <v>141</v>
      </c>
    </row>
    <row r="2" spans="1:13" s="5" customFormat="1" ht="61.2" x14ac:dyDescent="0.4">
      <c r="A2" s="16" t="s">
        <v>63</v>
      </c>
      <c r="B2" s="16" t="s">
        <v>12</v>
      </c>
      <c r="C2" s="16" t="s">
        <v>24</v>
      </c>
      <c r="D2" s="16" t="s">
        <v>64</v>
      </c>
      <c r="E2" s="16" t="s">
        <v>25</v>
      </c>
      <c r="F2" s="16" t="s">
        <v>33</v>
      </c>
      <c r="G2" s="16" t="s">
        <v>13</v>
      </c>
      <c r="H2" s="16" t="s">
        <v>14</v>
      </c>
      <c r="I2" s="16" t="s">
        <v>15</v>
      </c>
      <c r="J2" s="16" t="s">
        <v>16</v>
      </c>
      <c r="K2" s="16" t="s">
        <v>17</v>
      </c>
      <c r="L2" s="16" t="s">
        <v>18</v>
      </c>
      <c r="M2" s="18"/>
    </row>
    <row r="3" spans="1:13" s="5" customFormat="1" x14ac:dyDescent="0.4">
      <c r="A3" s="16" t="s">
        <v>2</v>
      </c>
      <c r="B3" s="16">
        <v>90</v>
      </c>
      <c r="C3" s="16" t="s">
        <v>66</v>
      </c>
      <c r="D3" s="16" t="s">
        <v>23</v>
      </c>
      <c r="E3" s="16" t="s">
        <v>23</v>
      </c>
      <c r="F3" s="16">
        <v>90.71</v>
      </c>
      <c r="G3" s="16">
        <v>0.92359999999999998</v>
      </c>
      <c r="H3" s="16">
        <v>0.8982</v>
      </c>
      <c r="I3" s="16">
        <v>0.91080000000000005</v>
      </c>
      <c r="J3" s="16">
        <v>0.88949999999999996</v>
      </c>
      <c r="K3" s="16">
        <v>0.91690000000000005</v>
      </c>
      <c r="L3" s="16">
        <v>0.90300000000000002</v>
      </c>
      <c r="M3" s="18"/>
    </row>
    <row r="4" spans="1:13" x14ac:dyDescent="0.4">
      <c r="A4" s="1" t="s">
        <v>3</v>
      </c>
      <c r="B4" s="1">
        <v>60</v>
      </c>
      <c r="C4" s="1" t="s">
        <v>66</v>
      </c>
      <c r="D4" s="1" t="s">
        <v>89</v>
      </c>
      <c r="E4" s="1">
        <v>99.93</v>
      </c>
      <c r="F4" s="1">
        <v>91.42</v>
      </c>
      <c r="G4" s="1">
        <v>0.92210000000000003</v>
      </c>
      <c r="H4" s="1">
        <v>0.91469999999999996</v>
      </c>
      <c r="I4" s="1">
        <v>0.91839999999999999</v>
      </c>
      <c r="J4" s="1">
        <v>0.90539999999999998</v>
      </c>
      <c r="K4" s="1">
        <v>0.91359999999999997</v>
      </c>
      <c r="L4" s="1">
        <v>0.90949999999999998</v>
      </c>
      <c r="M4" s="17" t="s">
        <v>114</v>
      </c>
    </row>
    <row r="5" spans="1:13" x14ac:dyDescent="0.4">
      <c r="A5" s="1" t="s">
        <v>4</v>
      </c>
      <c r="B5" s="1">
        <v>60</v>
      </c>
      <c r="C5" s="1" t="s">
        <v>66</v>
      </c>
      <c r="D5" s="1" t="s">
        <v>90</v>
      </c>
      <c r="E5" s="1">
        <v>99.09</v>
      </c>
      <c r="F5" s="5">
        <v>92.83</v>
      </c>
      <c r="G5" s="5">
        <v>0.93620000000000003</v>
      </c>
      <c r="H5" s="5">
        <v>0.92730000000000001</v>
      </c>
      <c r="I5" s="5">
        <v>0.93179999999999996</v>
      </c>
      <c r="J5" s="5">
        <v>0.91949999999999998</v>
      </c>
      <c r="K5" s="5">
        <v>0.92930000000000001</v>
      </c>
      <c r="L5" s="5">
        <v>0.9244</v>
      </c>
      <c r="M5" s="17" t="s">
        <v>115</v>
      </c>
    </row>
    <row r="6" spans="1:13" x14ac:dyDescent="0.4">
      <c r="A6" s="1" t="s">
        <v>6</v>
      </c>
      <c r="B6" s="1">
        <v>60</v>
      </c>
      <c r="C6" s="1" t="s">
        <v>66</v>
      </c>
      <c r="D6" s="1" t="s">
        <v>91</v>
      </c>
      <c r="E6" s="1">
        <v>96.86</v>
      </c>
      <c r="F6" s="1">
        <v>92.18</v>
      </c>
      <c r="G6" s="1">
        <v>0.93120000000000003</v>
      </c>
      <c r="H6" s="1">
        <v>0.92</v>
      </c>
      <c r="I6" s="1">
        <v>0.92549999999999999</v>
      </c>
      <c r="J6" s="1">
        <v>0.91159999999999997</v>
      </c>
      <c r="K6" s="1">
        <v>0.92390000000000005</v>
      </c>
      <c r="L6" s="1">
        <v>0.91769999999999996</v>
      </c>
      <c r="M6" s="17" t="s">
        <v>116</v>
      </c>
    </row>
    <row r="7" spans="1:13" x14ac:dyDescent="0.4">
      <c r="A7" s="1" t="s">
        <v>5</v>
      </c>
      <c r="B7" s="1">
        <v>60</v>
      </c>
      <c r="C7" s="1" t="s">
        <v>66</v>
      </c>
      <c r="D7" s="1" t="s">
        <v>93</v>
      </c>
      <c r="E7" s="9">
        <v>90.93</v>
      </c>
      <c r="F7" s="9">
        <v>91.34</v>
      </c>
      <c r="G7" s="9">
        <v>0.92469999999999997</v>
      </c>
      <c r="H7" s="9">
        <v>0.91010000000000002</v>
      </c>
      <c r="I7" s="9" t="s">
        <v>360</v>
      </c>
      <c r="J7" s="9">
        <v>0.9012</v>
      </c>
      <c r="K7" s="9">
        <v>0.91710000000000003</v>
      </c>
      <c r="L7" s="9">
        <v>0.90900000000000003</v>
      </c>
      <c r="M7" s="17" t="s">
        <v>92</v>
      </c>
    </row>
    <row r="10" spans="1:13" x14ac:dyDescent="0.4">
      <c r="A10" s="1" t="s">
        <v>142</v>
      </c>
    </row>
    <row r="11" spans="1:13" s="5" customFormat="1" ht="61.2" x14ac:dyDescent="0.4">
      <c r="A11" s="16" t="s">
        <v>63</v>
      </c>
      <c r="B11" s="16" t="s">
        <v>12</v>
      </c>
      <c r="C11" s="16" t="s">
        <v>24</v>
      </c>
      <c r="D11" s="16" t="s">
        <v>64</v>
      </c>
      <c r="E11" s="16" t="s">
        <v>25</v>
      </c>
      <c r="F11" s="16" t="s">
        <v>33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8"/>
    </row>
    <row r="12" spans="1:13" s="5" customFormat="1" x14ac:dyDescent="0.4">
      <c r="A12" s="16" t="s">
        <v>2</v>
      </c>
      <c r="B12" s="16">
        <v>90</v>
      </c>
      <c r="C12" s="16" t="s">
        <v>66</v>
      </c>
      <c r="D12" s="16" t="s">
        <v>23</v>
      </c>
      <c r="E12" s="16" t="s">
        <v>23</v>
      </c>
      <c r="F12" s="16">
        <v>90.71</v>
      </c>
      <c r="G12" s="16">
        <v>0.92359999999999998</v>
      </c>
      <c r="H12" s="16">
        <v>0.8982</v>
      </c>
      <c r="I12" s="16">
        <v>0.91080000000000005</v>
      </c>
      <c r="J12" s="16">
        <v>0.88949999999999996</v>
      </c>
      <c r="K12" s="16">
        <v>0.91690000000000005</v>
      </c>
      <c r="L12" s="16">
        <v>0.90300000000000002</v>
      </c>
      <c r="M12" s="18"/>
    </row>
    <row r="13" spans="1:13" x14ac:dyDescent="0.4">
      <c r="A13" s="1" t="s">
        <v>3</v>
      </c>
      <c r="B13" s="1" t="s">
        <v>88</v>
      </c>
      <c r="C13" s="1" t="s">
        <v>66</v>
      </c>
      <c r="M13" s="17" t="s">
        <v>224</v>
      </c>
    </row>
    <row r="14" spans="1:13" x14ac:dyDescent="0.4">
      <c r="A14" s="1" t="s">
        <v>4</v>
      </c>
      <c r="B14" s="1" t="s">
        <v>88</v>
      </c>
      <c r="C14" s="1" t="s">
        <v>66</v>
      </c>
      <c r="M14" s="17" t="s">
        <v>225</v>
      </c>
    </row>
    <row r="15" spans="1:13" x14ac:dyDescent="0.4">
      <c r="A15" s="1" t="s">
        <v>6</v>
      </c>
      <c r="B15" s="1" t="s">
        <v>88</v>
      </c>
      <c r="C15" s="1" t="s">
        <v>66</v>
      </c>
    </row>
    <row r="16" spans="1:13" x14ac:dyDescent="0.4">
      <c r="A16" s="1" t="s">
        <v>223</v>
      </c>
      <c r="B16" s="1" t="s">
        <v>88</v>
      </c>
      <c r="C16" s="1" t="s">
        <v>66</v>
      </c>
      <c r="D16" s="1" t="s">
        <v>214</v>
      </c>
      <c r="E16" s="9" t="s">
        <v>215</v>
      </c>
      <c r="F16" s="9" t="s">
        <v>216</v>
      </c>
      <c r="G16" s="9" t="s">
        <v>219</v>
      </c>
      <c r="H16" s="9" t="s">
        <v>217</v>
      </c>
      <c r="I16" s="9" t="s">
        <v>218</v>
      </c>
      <c r="J16" s="9" t="s">
        <v>222</v>
      </c>
      <c r="K16" s="9" t="s">
        <v>220</v>
      </c>
      <c r="L16" s="9" t="s">
        <v>221</v>
      </c>
      <c r="M16" s="17" t="s">
        <v>146</v>
      </c>
    </row>
    <row r="20" spans="2:8" x14ac:dyDescent="0.4">
      <c r="B20" s="5"/>
      <c r="C20" s="5"/>
      <c r="D20" s="5"/>
      <c r="E20" s="5"/>
      <c r="F20" s="5"/>
      <c r="H2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연산량, 데이터셋 비교</vt:lpstr>
      <vt:lpstr>f1 (Sewer-TAPNEW)</vt:lpstr>
      <vt:lpstr>f1 (Sewer-ML)</vt:lpstr>
      <vt:lpstr>valloss (Sewer-TAPNEW)</vt:lpstr>
      <vt:lpstr>valloss (Sewer-ML)</vt:lpstr>
      <vt:lpstr>Sewer-TAPNEW</vt:lpstr>
      <vt:lpstr>Sheet1</vt:lpstr>
      <vt:lpstr>recipe</vt:lpstr>
      <vt:lpstr>Sewer-ML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최대승</dc:creator>
  <cp:lastModifiedBy>최대승</cp:lastModifiedBy>
  <dcterms:created xsi:type="dcterms:W3CDTF">2025-11-08T02:13:30Z</dcterms:created>
  <dcterms:modified xsi:type="dcterms:W3CDTF">2025-11-19T08:55:05Z</dcterms:modified>
</cp:coreProperties>
</file>